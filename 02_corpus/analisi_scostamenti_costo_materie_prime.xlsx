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zzi 2025" sheetId="1" state="visible" r:id="rId1"/>
    <sheet xmlns:r="http://schemas.openxmlformats.org/officeDocument/2006/relationships" name="Prezzi 2026" sheetId="2" state="visible" r:id="rId2"/>
    <sheet xmlns:r="http://schemas.openxmlformats.org/officeDocument/2006/relationships" name="Delta" sheetId="3" state="visible" r:id="rId3"/>
    <sheet xmlns:r="http://schemas.openxmlformats.org/officeDocument/2006/relationships" name="Impatto a 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 &quot;€&quot;"/>
    <numFmt numFmtId="166" formatCode="0.0%"/>
    <numFmt numFmtId="167" formatCode="#,##0 &quot;€&quot;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9"/>
    </font>
    <font>
      <name val="Calibri"/>
      <sz val="10"/>
    </font>
    <font>
      <name val="Calibri"/>
      <i val="1"/>
      <color rgb="009C6500"/>
      <sz val="8"/>
    </font>
    <font>
      <name val="Calibri"/>
      <b val="1"/>
      <sz val="10"/>
    </font>
    <font>
      <name val="Calibr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0" borderId="0" pivotButton="0" quotePrefix="0" xfId="0"/>
    <xf numFmtId="166" fontId="4" fillId="0" borderId="1" pivotButton="0" quotePrefix="0" xfId="0"/>
    <xf numFmtId="3" fontId="4" fillId="0" borderId="1" pivotButton="0" quotePrefix="0" xfId="0"/>
    <xf numFmtId="167" fontId="4" fillId="0" borderId="1" pivotButton="0" quotePrefix="0" xfId="0"/>
    <xf numFmtId="0" fontId="6" fillId="0" borderId="0" pivotButton="0" quotePrefix="0" xfId="0"/>
    <xf numFmtId="167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</cols>
  <sheetData>
    <row r="1">
      <c r="A1" s="1" t="inlineStr">
        <is>
          <t>Prezzi medi di acquisto 2025 - €/UM</t>
        </is>
      </c>
    </row>
    <row r="2">
      <c r="A2" s="2" t="inlineStr">
        <is>
          <t>fonte: fatture passive - estrazione L. Trentin</t>
        </is>
      </c>
    </row>
    <row r="3"/>
    <row r="4"/>
    <row r="5" ht="28" customHeight="1">
      <c r="A5" s="3" t="inlineStr">
        <is>
          <t>Materia prima</t>
        </is>
      </c>
      <c r="B5" s="3" t="inlineStr">
        <is>
          <t>UM</t>
        </is>
      </c>
      <c r="C5" s="3" t="inlineStr">
        <is>
          <t>gennaio</t>
        </is>
      </c>
      <c r="D5" s="3" t="inlineStr">
        <is>
          <t>febbraio</t>
        </is>
      </c>
      <c r="E5" s="3" t="inlineStr">
        <is>
          <t>marzo</t>
        </is>
      </c>
      <c r="F5" s="3" t="inlineStr">
        <is>
          <t>aprile</t>
        </is>
      </c>
      <c r="G5" s="3" t="inlineStr">
        <is>
          <t>maggio</t>
        </is>
      </c>
      <c r="H5" s="3" t="inlineStr">
        <is>
          <t>giugno</t>
        </is>
      </c>
      <c r="I5" s="3" t="inlineStr">
        <is>
          <t>luglio</t>
        </is>
      </c>
      <c r="J5" s="3" t="inlineStr">
        <is>
          <t>agosto</t>
        </is>
      </c>
      <c r="K5" s="3" t="inlineStr">
        <is>
          <t>settembre</t>
        </is>
      </c>
      <c r="L5" s="3" t="inlineStr">
        <is>
          <t>ottobre</t>
        </is>
      </c>
      <c r="M5" s="3" t="inlineStr">
        <is>
          <t>novembre</t>
        </is>
      </c>
      <c r="N5" s="3" t="inlineStr">
        <is>
          <t>dicembre</t>
        </is>
      </c>
      <c r="O5" s="3" t="inlineStr">
        <is>
          <t>Media</t>
        </is>
      </c>
    </row>
    <row r="6">
      <c r="A6" s="4" t="inlineStr">
        <is>
          <t>Farina tipo 0 W300</t>
        </is>
      </c>
      <c r="B6" s="4" t="inlineStr">
        <is>
          <t>kg</t>
        </is>
      </c>
      <c r="C6" s="5" t="n">
        <v>0.4088</v>
      </c>
      <c r="D6" s="5" t="n">
        <v>0.4117</v>
      </c>
      <c r="E6" s="5" t="n">
        <v>0.4098</v>
      </c>
      <c r="F6" s="5" t="n">
        <v>0.4104</v>
      </c>
      <c r="G6" s="5" t="n">
        <v>0.418</v>
      </c>
      <c r="H6" s="5" t="n">
        <v>0.4177</v>
      </c>
      <c r="I6" s="5" t="n">
        <v>0.4152</v>
      </c>
      <c r="J6" s="5" t="n">
        <v>0.4181</v>
      </c>
      <c r="K6" s="5" t="n">
        <v>0.4076</v>
      </c>
      <c r="L6" s="5" t="n">
        <v>0.417</v>
      </c>
      <c r="M6" s="5" t="n">
        <v>0.419</v>
      </c>
      <c r="N6" s="5" t="n">
        <v>0.415</v>
      </c>
      <c r="O6" s="6">
        <f>AVERAGE(C6:N6)</f>
        <v/>
      </c>
    </row>
    <row r="7">
      <c r="A7" s="4" t="inlineStr">
        <is>
          <t>Farina tipo 00</t>
        </is>
      </c>
      <c r="B7" s="4" t="inlineStr">
        <is>
          <t>kg</t>
        </is>
      </c>
      <c r="C7" s="5" t="n">
        <v>0.3942</v>
      </c>
      <c r="D7" s="5" t="n">
        <v>0.3944</v>
      </c>
      <c r="E7" s="5" t="n">
        <v>0.3973</v>
      </c>
      <c r="F7" s="5" t="n">
        <v>0.3941</v>
      </c>
      <c r="G7" s="5" t="n">
        <v>0.4005</v>
      </c>
      <c r="H7" s="5" t="n">
        <v>0.4028</v>
      </c>
      <c r="I7" s="5" t="n">
        <v>0.3958</v>
      </c>
      <c r="J7" s="5" t="n">
        <v>0.3942</v>
      </c>
      <c r="K7" s="5" t="n">
        <v>0.3994</v>
      </c>
      <c r="L7" s="5" t="n">
        <v>0.3998</v>
      </c>
      <c r="M7" s="5" t="n">
        <v>0.3998</v>
      </c>
      <c r="N7" s="5" t="n">
        <v>0.3962</v>
      </c>
      <c r="O7" s="6">
        <f>AVERAGE(C7:N7)</f>
        <v/>
      </c>
    </row>
    <row r="8">
      <c r="A8" s="4" t="inlineStr">
        <is>
          <t>Olio girasole alto oleico</t>
        </is>
      </c>
      <c r="B8" s="4" t="inlineStr">
        <is>
          <t>kg</t>
        </is>
      </c>
      <c r="C8" s="5" t="n">
        <v>1.2712</v>
      </c>
      <c r="D8" s="5" t="n">
        <v>1.2737</v>
      </c>
      <c r="E8" s="5" t="n">
        <v>1.2934</v>
      </c>
      <c r="F8" s="5" t="n">
        <v>1.2701</v>
      </c>
      <c r="G8" s="5" t="n">
        <v>1.29</v>
      </c>
      <c r="H8" s="5" t="n">
        <v>1.2817</v>
      </c>
      <c r="I8" s="5" t="n">
        <v>1.2997</v>
      </c>
      <c r="J8" s="5" t="n">
        <v>1.2807</v>
      </c>
      <c r="K8" s="5" t="n">
        <v>1.3021</v>
      </c>
      <c r="L8" s="5" t="n">
        <v>1.2929</v>
      </c>
      <c r="M8" s="5" t="n">
        <v>1.293</v>
      </c>
      <c r="N8" s="5" t="n">
        <v>1.2901</v>
      </c>
      <c r="O8" s="6">
        <f>AVERAGE(C8:N8)</f>
        <v/>
      </c>
    </row>
    <row r="9">
      <c r="A9" s="4" t="inlineStr">
        <is>
          <t>Burro 82%</t>
        </is>
      </c>
      <c r="B9" s="4" t="inlineStr">
        <is>
          <t>kg</t>
        </is>
      </c>
      <c r="C9" s="5" t="n">
        <v>5.871</v>
      </c>
      <c r="D9" s="5" t="n">
        <v>5.9118</v>
      </c>
      <c r="E9" s="5" t="n">
        <v>5.8829</v>
      </c>
      <c r="F9" s="5" t="n">
        <v>6.0435</v>
      </c>
      <c r="G9" s="5" t="n">
        <v>5.9965</v>
      </c>
      <c r="H9" s="5" t="n">
        <v>5.9519</v>
      </c>
      <c r="I9" s="5" t="n">
        <v>5.9625</v>
      </c>
      <c r="J9" s="5" t="n">
        <v>5.9474</v>
      </c>
      <c r="K9" s="5" t="n">
        <v>6.007</v>
      </c>
      <c r="L9" s="5" t="n">
        <v>5.9093</v>
      </c>
      <c r="M9" s="5" t="n">
        <v>5.9906</v>
      </c>
      <c r="N9" s="5" t="n">
        <v>6.0185</v>
      </c>
      <c r="O9" s="6">
        <f>AVERAGE(C9:N9)</f>
        <v/>
      </c>
    </row>
    <row r="10">
      <c r="A10" s="4" t="inlineStr">
        <is>
          <t>Zucchero</t>
        </is>
      </c>
      <c r="B10" s="4" t="inlineStr">
        <is>
          <t>kg</t>
        </is>
      </c>
      <c r="C10" s="5" t="n">
        <v>0.8323</v>
      </c>
      <c r="D10" s="5" t="n">
        <v>0.8233</v>
      </c>
      <c r="E10" s="5" t="n">
        <v>0.8171</v>
      </c>
      <c r="F10" s="5" t="n">
        <v>0.8167</v>
      </c>
      <c r="G10" s="5" t="n">
        <v>0.8239</v>
      </c>
      <c r="H10" s="5" t="n">
        <v>0.8124</v>
      </c>
      <c r="I10" s="5" t="n">
        <v>0.8104</v>
      </c>
      <c r="J10" s="5" t="n">
        <v>0.8199</v>
      </c>
      <c r="K10" s="5" t="n">
        <v>0.8108</v>
      </c>
      <c r="L10" s="5" t="n">
        <v>0.825</v>
      </c>
      <c r="M10" s="5" t="n">
        <v>0.8224</v>
      </c>
      <c r="N10" s="5" t="n">
        <v>0.8197</v>
      </c>
      <c r="O10" s="6">
        <f>AVERAGE(C10:N10)</f>
        <v/>
      </c>
    </row>
    <row r="11">
      <c r="A11" s="4" t="inlineStr">
        <is>
          <t>Lievito compresso</t>
        </is>
      </c>
      <c r="B11" s="4" t="inlineStr">
        <is>
          <t>kg</t>
        </is>
      </c>
      <c r="C11" s="5" t="n">
        <v>1.5857</v>
      </c>
      <c r="D11" s="5" t="n">
        <v>1.574</v>
      </c>
      <c r="E11" s="5" t="n">
        <v>1.5549</v>
      </c>
      <c r="F11" s="5" t="n">
        <v>1.5509</v>
      </c>
      <c r="G11" s="5" t="n">
        <v>1.5828</v>
      </c>
      <c r="H11" s="5" t="n">
        <v>1.5579</v>
      </c>
      <c r="I11" s="5" t="n">
        <v>1.5754</v>
      </c>
      <c r="J11" s="5" t="n">
        <v>1.5581</v>
      </c>
      <c r="K11" s="5" t="n">
        <v>1.5644</v>
      </c>
      <c r="L11" s="5" t="n">
        <v>1.5638</v>
      </c>
      <c r="M11" s="5" t="n">
        <v>1.5431</v>
      </c>
      <c r="N11" s="5" t="n">
        <v>1.585</v>
      </c>
      <c r="O11" s="6">
        <f>AVERAGE(C11:N11)</f>
        <v/>
      </c>
    </row>
    <row r="12">
      <c r="A12" s="4" t="inlineStr">
        <is>
          <t>Semi misti tostati</t>
        </is>
      </c>
      <c r="B12" s="4" t="inlineStr">
        <is>
          <t>kg</t>
        </is>
      </c>
      <c r="C12" s="5" t="n">
        <v>3.4776</v>
      </c>
      <c r="D12" s="5" t="n">
        <v>3.4665</v>
      </c>
      <c r="E12" s="5" t="n">
        <v>3.4709</v>
      </c>
      <c r="F12" s="5" t="n">
        <v>3.457</v>
      </c>
      <c r="G12" s="5" t="n">
        <v>3.457</v>
      </c>
      <c r="H12" s="5" t="n">
        <v>3.4434</v>
      </c>
      <c r="I12" s="5" t="n">
        <v>3.485</v>
      </c>
      <c r="J12" s="5" t="n">
        <v>3.5296</v>
      </c>
      <c r="K12" s="5" t="n">
        <v>3.4432</v>
      </c>
      <c r="L12" s="5" t="n">
        <v>3.4557</v>
      </c>
      <c r="M12" s="5" t="n">
        <v>3.4955</v>
      </c>
      <c r="N12" s="5" t="n">
        <v>3.4524</v>
      </c>
      <c r="O12" s="6">
        <f>AVERAGE(C12:N12)</f>
        <v/>
      </c>
    </row>
    <row r="13">
      <c r="A13" s="4" t="inlineStr">
        <is>
          <t>Sale marino</t>
        </is>
      </c>
      <c r="B13" s="4" t="inlineStr">
        <is>
          <t>kg</t>
        </is>
      </c>
      <c r="C13" s="5" t="n">
        <v>0.3087</v>
      </c>
      <c r="D13" s="5" t="n">
        <v>0.3154</v>
      </c>
      <c r="E13" s="5" t="n">
        <v>0.3136</v>
      </c>
      <c r="F13" s="5" t="n">
        <v>0.3152</v>
      </c>
      <c r="G13" s="5" t="n">
        <v>0.3151</v>
      </c>
      <c r="H13" s="5" t="n">
        <v>0.309</v>
      </c>
      <c r="I13" s="5" t="n">
        <v>0.3113</v>
      </c>
      <c r="J13" s="5" t="n">
        <v>0.3072</v>
      </c>
      <c r="K13" s="5" t="n">
        <v>0.314</v>
      </c>
      <c r="L13" s="5" t="n">
        <v>0.3151</v>
      </c>
      <c r="M13" s="5" t="n">
        <v>0.3152</v>
      </c>
      <c r="N13" s="5" t="n">
        <v>0.3113</v>
      </c>
      <c r="O13" s="6">
        <f>AVERAGE(C13:N13)</f>
        <v/>
      </c>
    </row>
    <row r="14">
      <c r="A14" s="4" t="inlineStr">
        <is>
          <t>Film MAP PP/EVOH</t>
        </is>
      </c>
      <c r="B14" s="4" t="inlineStr">
        <is>
          <t>kg</t>
        </is>
      </c>
      <c r="C14" s="5" t="n">
        <v>4.2492</v>
      </c>
      <c r="D14" s="5" t="n">
        <v>4.2193</v>
      </c>
      <c r="E14" s="5" t="n">
        <v>4.2376</v>
      </c>
      <c r="F14" s="5" t="n">
        <v>4.1862</v>
      </c>
      <c r="G14" s="5" t="n">
        <v>4.2329</v>
      </c>
      <c r="H14" s="5" t="n">
        <v>4.2058</v>
      </c>
      <c r="I14" s="5" t="n">
        <v>4.261</v>
      </c>
      <c r="J14" s="5" t="n">
        <v>4.2625</v>
      </c>
      <c r="K14" s="5" t="n">
        <v>4.2403</v>
      </c>
      <c r="L14" s="5" t="n">
        <v>4.1884</v>
      </c>
      <c r="M14" s="5" t="n">
        <v>4.1975</v>
      </c>
      <c r="N14" s="5" t="n">
        <v>4.194</v>
      </c>
      <c r="O14" s="6">
        <f>AVERAGE(C14:N14)</f>
        <v/>
      </c>
    </row>
    <row r="15">
      <c r="A15" s="4" t="inlineStr">
        <is>
          <t>Vaschette PP</t>
        </is>
      </c>
      <c r="B15" s="4" t="inlineStr">
        <is>
          <t>1000 pz</t>
        </is>
      </c>
      <c r="C15" s="5" t="n">
        <v>39.1165</v>
      </c>
      <c r="D15" s="5" t="n">
        <v>38.5859</v>
      </c>
      <c r="E15" s="5" t="n">
        <v>39.0693</v>
      </c>
      <c r="F15" s="5" t="n">
        <v>38.4632</v>
      </c>
      <c r="G15" s="5" t="n">
        <v>39.071</v>
      </c>
      <c r="H15" s="5" t="n">
        <v>38.3242</v>
      </c>
      <c r="I15" s="5" t="n">
        <v>38.404</v>
      </c>
      <c r="J15" s="5" t="n">
        <v>39.0794</v>
      </c>
      <c r="K15" s="5" t="n">
        <v>39.1421</v>
      </c>
      <c r="L15" s="5" t="n">
        <v>38.8503</v>
      </c>
      <c r="M15" s="5" t="n">
        <v>38.7309</v>
      </c>
      <c r="N15" s="5" t="n">
        <v>38.2871</v>
      </c>
      <c r="O15" s="6">
        <f>AVERAGE(C15:N15)</f>
        <v/>
      </c>
    </row>
    <row r="16">
      <c r="A16" s="4" t="inlineStr">
        <is>
          <t>Cartone ondulato</t>
        </is>
      </c>
      <c r="B16" s="4" t="inlineStr">
        <is>
          <t>pz</t>
        </is>
      </c>
      <c r="C16" s="5" t="n">
        <v>0.2844</v>
      </c>
      <c r="D16" s="5" t="n">
        <v>0.2842</v>
      </c>
      <c r="E16" s="5" t="n">
        <v>0.2832</v>
      </c>
      <c r="F16" s="5" t="n">
        <v>0.2846</v>
      </c>
      <c r="G16" s="5" t="n">
        <v>0.2848</v>
      </c>
      <c r="H16" s="5" t="n">
        <v>0.2847</v>
      </c>
      <c r="I16" s="5" t="n">
        <v>0.2831</v>
      </c>
      <c r="J16" s="5" t="n">
        <v>0.2822</v>
      </c>
      <c r="K16" s="5" t="n">
        <v>0.2855</v>
      </c>
      <c r="L16" s="5" t="n">
        <v>0.2892</v>
      </c>
      <c r="M16" s="5" t="n">
        <v>0.2891</v>
      </c>
      <c r="N16" s="5" t="n">
        <v>0.2856</v>
      </c>
      <c r="O16" s="6">
        <f>AVERAGE(C16:N16)</f>
        <v/>
      </c>
    </row>
    <row r="17">
      <c r="A17" s="4" t="inlineStr">
        <is>
          <t>Azoto alimentare</t>
        </is>
      </c>
      <c r="B17" s="4" t="inlineStr">
        <is>
          <t>m3</t>
        </is>
      </c>
      <c r="C17" s="5" t="n">
        <v>1.1932</v>
      </c>
      <c r="D17" s="5" t="n">
        <v>1.169</v>
      </c>
      <c r="E17" s="5" t="n">
        <v>1.1738</v>
      </c>
      <c r="F17" s="5" t="n">
        <v>1.1749</v>
      </c>
      <c r="G17" s="5" t="n">
        <v>1.1726</v>
      </c>
      <c r="H17" s="5" t="n">
        <v>1.1917</v>
      </c>
      <c r="I17" s="5" t="n">
        <v>1.173</v>
      </c>
      <c r="J17" s="5" t="n">
        <v>1.1833</v>
      </c>
      <c r="K17" s="5" t="n">
        <v>1.1732</v>
      </c>
      <c r="L17" s="5" t="n">
        <v>1.1797</v>
      </c>
      <c r="M17" s="5" t="n">
        <v>1.183</v>
      </c>
      <c r="N17" s="5" t="n">
        <v>1.1973</v>
      </c>
      <c r="O17" s="6">
        <f>AVERAGE(C17:N17)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</cols>
  <sheetData>
    <row r="1">
      <c r="A1" s="1" t="inlineStr">
        <is>
          <t>Prezzi medi di acquisto 2026 - €/UM</t>
        </is>
      </c>
    </row>
    <row r="2">
      <c r="A2" s="2" t="inlineStr">
        <is>
          <t>fonte: fatture passive - estrazione L. Trentin</t>
        </is>
      </c>
    </row>
    <row r="3"/>
    <row r="4"/>
    <row r="5" ht="28" customHeight="1">
      <c r="A5" s="3" t="inlineStr">
        <is>
          <t>Materia prima</t>
        </is>
      </c>
      <c r="B5" s="3" t="inlineStr">
        <is>
          <t>UM</t>
        </is>
      </c>
      <c r="C5" s="3" t="inlineStr">
        <is>
          <t>gennaio</t>
        </is>
      </c>
      <c r="D5" s="3" t="inlineStr">
        <is>
          <t>febbraio</t>
        </is>
      </c>
      <c r="E5" s="3" t="inlineStr">
        <is>
          <t>marzo</t>
        </is>
      </c>
      <c r="F5" s="3" t="inlineStr">
        <is>
          <t>aprile</t>
        </is>
      </c>
      <c r="G5" s="3" t="inlineStr">
        <is>
          <t>maggio</t>
        </is>
      </c>
      <c r="H5" s="3" t="inlineStr">
        <is>
          <t>Media</t>
        </is>
      </c>
    </row>
    <row r="6">
      <c r="A6" s="4" t="inlineStr">
        <is>
          <t>Farina tipo 0 W300</t>
        </is>
      </c>
      <c r="B6" s="4" t="inlineStr">
        <is>
          <t>kg</t>
        </is>
      </c>
      <c r="C6" s="5" t="n">
        <v>0.412</v>
      </c>
      <c r="D6" s="5" t="n">
        <v>0.4165</v>
      </c>
      <c r="E6" s="5" t="n">
        <v>0.4211</v>
      </c>
      <c r="F6" s="5" t="n">
        <v>0.4256</v>
      </c>
      <c r="G6" s="5" t="n">
        <v>0.4301</v>
      </c>
      <c r="H6" s="6">
        <f>AVERAGE(C6:G6)</f>
        <v/>
      </c>
    </row>
    <row r="7">
      <c r="A7" s="4" t="inlineStr">
        <is>
          <t>Farina tipo 00</t>
        </is>
      </c>
      <c r="B7" s="4" t="inlineStr">
        <is>
          <t>kg</t>
        </is>
      </c>
      <c r="C7" s="5" t="n">
        <v>0.398</v>
      </c>
      <c r="D7" s="5" t="n">
        <v>0.4024</v>
      </c>
      <c r="E7" s="5" t="n">
        <v>0.4068</v>
      </c>
      <c r="F7" s="5" t="n">
        <v>0.4111</v>
      </c>
      <c r="G7" s="5" t="n">
        <v>0.4155</v>
      </c>
      <c r="H7" s="6">
        <f>AVERAGE(C7:G7)</f>
        <v/>
      </c>
    </row>
    <row r="8">
      <c r="A8" s="4" t="inlineStr">
        <is>
          <t>Olio girasole alto oleico</t>
        </is>
      </c>
      <c r="B8" s="4" t="inlineStr">
        <is>
          <t>kg</t>
        </is>
      </c>
      <c r="C8" s="5" t="n">
        <v>1.279</v>
      </c>
      <c r="D8" s="5" t="n">
        <v>1.2794</v>
      </c>
      <c r="E8" s="5" t="n">
        <v>1.4432</v>
      </c>
      <c r="F8" s="5" t="n">
        <v>1.4261</v>
      </c>
      <c r="G8" s="5" t="n">
        <v>1.4397</v>
      </c>
      <c r="H8" s="6">
        <f>AVERAGE(C8:G8)</f>
        <v/>
      </c>
    </row>
    <row r="9">
      <c r="A9" s="4" t="inlineStr">
        <is>
          <t>Burro 82%</t>
        </is>
      </c>
      <c r="B9" s="4" t="inlineStr">
        <is>
          <t>kg</t>
        </is>
      </c>
      <c r="C9" s="5" t="n">
        <v>5.9253</v>
      </c>
      <c r="D9" s="5" t="n">
        <v>6.014</v>
      </c>
      <c r="E9" s="5" t="n">
        <v>6.0246</v>
      </c>
      <c r="F9" s="5" t="n">
        <v>6.0914</v>
      </c>
      <c r="G9" s="5" t="n">
        <v>5.976</v>
      </c>
      <c r="H9" s="6">
        <f>AVERAGE(C9:G9)</f>
        <v/>
      </c>
    </row>
    <row r="10">
      <c r="A10" s="4" t="inlineStr">
        <is>
          <t>Zucchero</t>
        </is>
      </c>
      <c r="B10" s="4" t="inlineStr">
        <is>
          <t>kg</t>
        </is>
      </c>
      <c r="C10" s="5" t="n">
        <v>0.8307</v>
      </c>
      <c r="D10" s="5" t="n">
        <v>0.8358</v>
      </c>
      <c r="E10" s="5" t="n">
        <v>0.8378</v>
      </c>
      <c r="F10" s="5" t="n">
        <v>0.8411999999999999</v>
      </c>
      <c r="G10" s="5" t="n">
        <v>0.832</v>
      </c>
      <c r="H10" s="6">
        <f>AVERAGE(C10:G10)</f>
        <v/>
      </c>
    </row>
    <row r="11">
      <c r="A11" s="4" t="inlineStr">
        <is>
          <t>Lievito compresso</t>
        </is>
      </c>
      <c r="B11" s="4" t="inlineStr">
        <is>
          <t>kg</t>
        </is>
      </c>
      <c r="C11" s="5" t="n">
        <v>1.5468</v>
      </c>
      <c r="D11" s="5" t="n">
        <v>1.5655</v>
      </c>
      <c r="E11" s="5" t="n">
        <v>1.5996</v>
      </c>
      <c r="F11" s="5" t="n">
        <v>1.5989</v>
      </c>
      <c r="G11" s="5" t="n">
        <v>1.6051</v>
      </c>
      <c r="H11" s="6">
        <f>AVERAGE(C11:G11)</f>
        <v/>
      </c>
    </row>
    <row r="12">
      <c r="A12" s="4" t="inlineStr">
        <is>
          <t>Semi misti tostati</t>
        </is>
      </c>
      <c r="B12" s="4" t="inlineStr">
        <is>
          <t>kg</t>
        </is>
      </c>
      <c r="C12" s="5" t="n">
        <v>3.4916</v>
      </c>
      <c r="D12" s="5" t="n">
        <v>3.5417</v>
      </c>
      <c r="E12" s="5" t="n">
        <v>3.5489</v>
      </c>
      <c r="F12" s="5" t="n">
        <v>3.5351</v>
      </c>
      <c r="G12" s="5" t="n">
        <v>3.4963</v>
      </c>
      <c r="H12" s="6">
        <f>AVERAGE(C12:G12)</f>
        <v/>
      </c>
    </row>
    <row r="13">
      <c r="A13" s="4" t="inlineStr">
        <is>
          <t>Sale marino</t>
        </is>
      </c>
      <c r="B13" s="4" t="inlineStr">
        <is>
          <t>kg</t>
        </is>
      </c>
      <c r="C13" s="5" t="n">
        <v>0.3111</v>
      </c>
      <c r="D13" s="5" t="n">
        <v>0.3124</v>
      </c>
      <c r="E13" s="5" t="n">
        <v>0.3136</v>
      </c>
      <c r="F13" s="5" t="n">
        <v>0.3159</v>
      </c>
      <c r="G13" s="5" t="n">
        <v>0.3119</v>
      </c>
      <c r="H13" s="6">
        <f>AVERAGE(C13:G13)</f>
        <v/>
      </c>
    </row>
    <row r="14">
      <c r="A14" s="4" t="inlineStr">
        <is>
          <t>Film MAP PP/EVOH</t>
        </is>
      </c>
      <c r="B14" s="4" t="inlineStr">
        <is>
          <t>kg</t>
        </is>
      </c>
      <c r="C14" s="5" t="n">
        <v>4.2706</v>
      </c>
      <c r="D14" s="5" t="n">
        <v>4.3097</v>
      </c>
      <c r="E14" s="5" t="n">
        <v>4.2495</v>
      </c>
      <c r="F14" s="5" t="n">
        <v>4.3249</v>
      </c>
      <c r="G14" s="5" t="n">
        <v>4.3376</v>
      </c>
      <c r="H14" s="6">
        <f>AVERAGE(C14:G14)</f>
        <v/>
      </c>
    </row>
    <row r="15">
      <c r="A15" s="4" t="inlineStr">
        <is>
          <t>Vaschette PP</t>
        </is>
      </c>
      <c r="B15" s="4" t="inlineStr">
        <is>
          <t>1000 pz</t>
        </is>
      </c>
      <c r="C15" s="5" t="n">
        <v>39.0042</v>
      </c>
      <c r="D15" s="5" t="n">
        <v>38.3232</v>
      </c>
      <c r="E15" s="5" t="n">
        <v>38.9388</v>
      </c>
      <c r="F15" s="5" t="n">
        <v>38.9794</v>
      </c>
      <c r="G15" s="5" t="n">
        <v>38.7552</v>
      </c>
      <c r="H15" s="6">
        <f>AVERAGE(C15:G15)</f>
        <v/>
      </c>
    </row>
    <row r="16">
      <c r="A16" s="4" t="inlineStr">
        <is>
          <t>Cartone ondulato</t>
        </is>
      </c>
      <c r="B16" s="4" t="inlineStr">
        <is>
          <t>pz</t>
        </is>
      </c>
      <c r="C16" s="5" t="n">
        <v>0.2858</v>
      </c>
      <c r="D16" s="5" t="n">
        <v>0.2846</v>
      </c>
      <c r="E16" s="5" t="n">
        <v>0.2919</v>
      </c>
      <c r="F16" s="5" t="n">
        <v>0.2894</v>
      </c>
      <c r="G16" s="5" t="n">
        <v>0.2898</v>
      </c>
      <c r="H16" s="6">
        <f>AVERAGE(C16:G16)</f>
        <v/>
      </c>
    </row>
    <row r="17">
      <c r="A17" s="4" t="inlineStr">
        <is>
          <t>Azoto alimentare</t>
        </is>
      </c>
      <c r="B17" s="4" t="inlineStr">
        <is>
          <t>m3</t>
        </is>
      </c>
      <c r="C17" s="5" t="n">
        <v>1.196</v>
      </c>
      <c r="D17" s="5" t="n">
        <v>1.1706</v>
      </c>
      <c r="E17" s="5" t="n">
        <v>1.1862</v>
      </c>
      <c r="F17" s="5" t="n">
        <v>1.1865</v>
      </c>
      <c r="G17" s="5" t="n">
        <v>1.2177</v>
      </c>
      <c r="H17" s="6">
        <f>AVERAGE(C17:G17)</f>
        <v/>
      </c>
    </row>
    <row r="18"/>
    <row r="19">
      <c r="A19" s="7" t="inlineStr">
        <is>
          <t>olio: +11% dichiarato dal fornitore da marzo (comunicazione via mail del 24/02)</t>
        </is>
      </c>
    </row>
    <row r="20">
      <c r="A20" s="7" t="inlineStr">
        <is>
          <t>farina: prezzo indicizzato alla Borsa Merci di Bologna, revisione trimestrale da contratto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18" customWidth="1" min="4" max="4"/>
    <col width="11" customWidth="1" min="5" max="5"/>
    <col width="10" customWidth="1" min="6" max="6"/>
    <col width="14" customWidth="1" min="7" max="7"/>
    <col width="15" customWidth="1" min="8" max="8"/>
    <col width="15" customWidth="1" min="9" max="9"/>
    <col width="12" customWidth="1" min="10" max="10"/>
  </cols>
  <sheetData>
    <row r="1">
      <c r="A1" s="1" t="inlineStr">
        <is>
          <t>Variazione prezzi 2026 vs media 2025</t>
        </is>
      </c>
    </row>
    <row r="2"/>
    <row r="3"/>
    <row r="4"/>
    <row r="5" ht="28" customHeight="1">
      <c r="A5" s="3" t="inlineStr">
        <is>
          <t>Materia prima</t>
        </is>
      </c>
      <c r="B5" s="3" t="inlineStr">
        <is>
          <t>UM</t>
        </is>
      </c>
      <c r="C5" s="3" t="inlineStr">
        <is>
          <t>Media 2025</t>
        </is>
      </c>
      <c r="D5" s="3" t="inlineStr">
        <is>
          <t>Media 2026 (5 mesi)</t>
        </is>
      </c>
      <c r="E5" s="3" t="inlineStr">
        <is>
          <t>Delta €</t>
        </is>
      </c>
      <c r="F5" s="3" t="inlineStr">
        <is>
          <t>Delta %</t>
        </is>
      </c>
      <c r="G5" s="3" t="inlineStr">
        <is>
          <t>Consumo annuo</t>
        </is>
      </c>
      <c r="H5" s="3" t="inlineStr">
        <is>
          <t>Impatto € anno</t>
        </is>
      </c>
      <c r="I5" s="3" t="inlineStr">
        <is>
          <t>Peso su costo MP</t>
        </is>
      </c>
      <c r="J5" s="3" t="inlineStr">
        <is>
          <t>Priorità</t>
        </is>
      </c>
    </row>
    <row r="6">
      <c r="A6" s="4" t="inlineStr">
        <is>
          <t>Farina tipo 0 W300</t>
        </is>
      </c>
      <c r="B6" s="4" t="inlineStr">
        <is>
          <t>kg</t>
        </is>
      </c>
      <c r="C6" s="6">
        <f>'Prezzi 2025'!O6</f>
        <v/>
      </c>
      <c r="D6" s="6">
        <f>'Prezzi 2026'!H6</f>
        <v/>
      </c>
      <c r="E6" s="6">
        <f>D6-C6</f>
        <v/>
      </c>
      <c r="F6" s="8">
        <f>E6/C6</f>
        <v/>
      </c>
      <c r="G6" s="9" t="n">
        <v>960000</v>
      </c>
      <c r="H6" s="10">
        <f>E6*G6</f>
        <v/>
      </c>
      <c r="I6" s="8">
        <f>H6/SUM($H$6:$H$17)</f>
        <v/>
      </c>
      <c r="J6" s="4">
        <f>IF(F6&gt;0.08,"ALTA",IF(F6&gt;0.03,"media","bassa"))</f>
        <v/>
      </c>
    </row>
    <row r="7">
      <c r="A7" s="4" t="inlineStr">
        <is>
          <t>Farina tipo 00</t>
        </is>
      </c>
      <c r="B7" s="4" t="inlineStr">
        <is>
          <t>kg</t>
        </is>
      </c>
      <c r="C7" s="6">
        <f>'Prezzi 2025'!O7</f>
        <v/>
      </c>
      <c r="D7" s="6">
        <f>'Prezzi 2026'!H7</f>
        <v/>
      </c>
      <c r="E7" s="6">
        <f>D7-C7</f>
        <v/>
      </c>
      <c r="F7" s="8">
        <f>E7/C7</f>
        <v/>
      </c>
      <c r="G7" s="9" t="n">
        <v>420000</v>
      </c>
      <c r="H7" s="10">
        <f>E7*G7</f>
        <v/>
      </c>
      <c r="I7" s="8">
        <f>H7/SUM($H$6:$H$17)</f>
        <v/>
      </c>
      <c r="J7" s="4">
        <f>IF(F7&gt;0.08,"ALTA",IF(F7&gt;0.03,"media","bassa"))</f>
        <v/>
      </c>
    </row>
    <row r="8">
      <c r="A8" s="4" t="inlineStr">
        <is>
          <t>Olio girasole alto oleico</t>
        </is>
      </c>
      <c r="B8" s="4" t="inlineStr">
        <is>
          <t>kg</t>
        </is>
      </c>
      <c r="C8" s="6">
        <f>'Prezzi 2025'!O8</f>
        <v/>
      </c>
      <c r="D8" s="6">
        <f>'Prezzi 2026'!H8</f>
        <v/>
      </c>
      <c r="E8" s="6">
        <f>D8-C8</f>
        <v/>
      </c>
      <c r="F8" s="8">
        <f>E8/C8</f>
        <v/>
      </c>
      <c r="G8" s="9" t="n">
        <v>148000</v>
      </c>
      <c r="H8" s="10">
        <f>E8*G8</f>
        <v/>
      </c>
      <c r="I8" s="8">
        <f>H8/SUM($H$6:$H$17)</f>
        <v/>
      </c>
      <c r="J8" s="4">
        <f>IF(F8&gt;0.08,"ALTA",IF(F8&gt;0.03,"media","bassa"))</f>
        <v/>
      </c>
    </row>
    <row r="9">
      <c r="A9" s="4" t="inlineStr">
        <is>
          <t>Burro 82%</t>
        </is>
      </c>
      <c r="B9" s="4" t="inlineStr">
        <is>
          <t>kg</t>
        </is>
      </c>
      <c r="C9" s="6">
        <f>'Prezzi 2025'!O9</f>
        <v/>
      </c>
      <c r="D9" s="6">
        <f>'Prezzi 2026'!H9</f>
        <v/>
      </c>
      <c r="E9" s="6">
        <f>D9-C9</f>
        <v/>
      </c>
      <c r="F9" s="8">
        <f>E9/C9</f>
        <v/>
      </c>
      <c r="G9" s="9" t="n">
        <v>96000</v>
      </c>
      <c r="H9" s="10">
        <f>E9*G9</f>
        <v/>
      </c>
      <c r="I9" s="8">
        <f>H9/SUM($H$6:$H$17)</f>
        <v/>
      </c>
      <c r="J9" s="4">
        <f>IF(F9&gt;0.08,"ALTA",IF(F9&gt;0.03,"media","bassa"))</f>
        <v/>
      </c>
    </row>
    <row r="10">
      <c r="A10" s="4" t="inlineStr">
        <is>
          <t>Zucchero</t>
        </is>
      </c>
      <c r="B10" s="4" t="inlineStr">
        <is>
          <t>kg</t>
        </is>
      </c>
      <c r="C10" s="6">
        <f>'Prezzi 2025'!O10</f>
        <v/>
      </c>
      <c r="D10" s="6">
        <f>'Prezzi 2026'!H10</f>
        <v/>
      </c>
      <c r="E10" s="6">
        <f>D10-C10</f>
        <v/>
      </c>
      <c r="F10" s="8">
        <f>E10/C10</f>
        <v/>
      </c>
      <c r="G10" s="9" t="n">
        <v>88000</v>
      </c>
      <c r="H10" s="10">
        <f>E10*G10</f>
        <v/>
      </c>
      <c r="I10" s="8">
        <f>H10/SUM($H$6:$H$17)</f>
        <v/>
      </c>
      <c r="J10" s="4">
        <f>IF(F10&gt;0.08,"ALTA",IF(F10&gt;0.03,"media","bassa"))</f>
        <v/>
      </c>
    </row>
    <row r="11">
      <c r="A11" s="4" t="inlineStr">
        <is>
          <t>Lievito compresso</t>
        </is>
      </c>
      <c r="B11" s="4" t="inlineStr">
        <is>
          <t>kg</t>
        </is>
      </c>
      <c r="C11" s="6">
        <f>'Prezzi 2025'!O11</f>
        <v/>
      </c>
      <c r="D11" s="6">
        <f>'Prezzi 2026'!H11</f>
        <v/>
      </c>
      <c r="E11" s="6">
        <f>D11-C11</f>
        <v/>
      </c>
      <c r="F11" s="8">
        <f>E11/C11</f>
        <v/>
      </c>
      <c r="G11" s="9" t="n">
        <v>24000</v>
      </c>
      <c r="H11" s="10">
        <f>E11*G11</f>
        <v/>
      </c>
      <c r="I11" s="8">
        <f>H11/SUM($H$6:$H$17)</f>
        <v/>
      </c>
      <c r="J11" s="4">
        <f>IF(F11&gt;0.08,"ALTA",IF(F11&gt;0.03,"media","bassa"))</f>
        <v/>
      </c>
    </row>
    <row r="12">
      <c r="A12" s="4" t="inlineStr">
        <is>
          <t>Semi misti tostati</t>
        </is>
      </c>
      <c r="B12" s="4" t="inlineStr">
        <is>
          <t>kg</t>
        </is>
      </c>
      <c r="C12" s="6">
        <f>'Prezzi 2025'!O12</f>
        <v/>
      </c>
      <c r="D12" s="6">
        <f>'Prezzi 2026'!H12</f>
        <v/>
      </c>
      <c r="E12" s="6">
        <f>D12-C12</f>
        <v/>
      </c>
      <c r="F12" s="8">
        <f>E12/C12</f>
        <v/>
      </c>
      <c r="G12" s="9" t="n">
        <v>32000</v>
      </c>
      <c r="H12" s="10">
        <f>E12*G12</f>
        <v/>
      </c>
      <c r="I12" s="8">
        <f>H12/SUM($H$6:$H$17)</f>
        <v/>
      </c>
      <c r="J12" s="4">
        <f>IF(F12&gt;0.08,"ALTA",IF(F12&gt;0.03,"media","bassa"))</f>
        <v/>
      </c>
    </row>
    <row r="13">
      <c r="A13" s="4" t="inlineStr">
        <is>
          <t>Sale marino</t>
        </is>
      </c>
      <c r="B13" s="4" t="inlineStr">
        <is>
          <t>kg</t>
        </is>
      </c>
      <c r="C13" s="6">
        <f>'Prezzi 2025'!O13</f>
        <v/>
      </c>
      <c r="D13" s="6">
        <f>'Prezzi 2026'!H13</f>
        <v/>
      </c>
      <c r="E13" s="6">
        <f>D13-C13</f>
        <v/>
      </c>
      <c r="F13" s="8">
        <f>E13/C13</f>
        <v/>
      </c>
      <c r="G13" s="9" t="n">
        <v>9600</v>
      </c>
      <c r="H13" s="10">
        <f>E13*G13</f>
        <v/>
      </c>
      <c r="I13" s="8">
        <f>H13/SUM($H$6:$H$17)</f>
        <v/>
      </c>
      <c r="J13" s="4">
        <f>IF(F13&gt;0.08,"ALTA",IF(F13&gt;0.03,"media","bassa"))</f>
        <v/>
      </c>
    </row>
    <row r="14">
      <c r="A14" s="4" t="inlineStr">
        <is>
          <t>Film MAP PP/EVOH</t>
        </is>
      </c>
      <c r="B14" s="4" t="inlineStr">
        <is>
          <t>kg</t>
        </is>
      </c>
      <c r="C14" s="6">
        <f>'Prezzi 2025'!O14</f>
        <v/>
      </c>
      <c r="D14" s="6">
        <f>'Prezzi 2026'!H14</f>
        <v/>
      </c>
      <c r="E14" s="6">
        <f>D14-C14</f>
        <v/>
      </c>
      <c r="F14" s="8">
        <f>E14/C14</f>
        <v/>
      </c>
      <c r="G14" s="9" t="n">
        <v>54000</v>
      </c>
      <c r="H14" s="10">
        <f>E14*G14</f>
        <v/>
      </c>
      <c r="I14" s="8">
        <f>H14/SUM($H$6:$H$17)</f>
        <v/>
      </c>
      <c r="J14" s="4">
        <f>IF(F14&gt;0.08,"ALTA",IF(F14&gt;0.03,"media","bassa"))</f>
        <v/>
      </c>
    </row>
    <row r="15">
      <c r="A15" s="4" t="inlineStr">
        <is>
          <t>Vaschette PP</t>
        </is>
      </c>
      <c r="B15" s="4" t="inlineStr">
        <is>
          <t>1000 pz</t>
        </is>
      </c>
      <c r="C15" s="6">
        <f>'Prezzi 2025'!O15</f>
        <v/>
      </c>
      <c r="D15" s="6">
        <f>'Prezzi 2026'!H15</f>
        <v/>
      </c>
      <c r="E15" s="6">
        <f>D15-C15</f>
        <v/>
      </c>
      <c r="F15" s="8">
        <f>E15/C15</f>
        <v/>
      </c>
      <c r="G15" s="9" t="n">
        <v>3200</v>
      </c>
      <c r="H15" s="10">
        <f>E15*G15</f>
        <v/>
      </c>
      <c r="I15" s="8">
        <f>H15/SUM($H$6:$H$17)</f>
        <v/>
      </c>
      <c r="J15" s="4">
        <f>IF(F15&gt;0.08,"ALTA",IF(F15&gt;0.03,"media","bassa"))</f>
        <v/>
      </c>
    </row>
    <row r="16">
      <c r="A16" s="4" t="inlineStr">
        <is>
          <t>Cartone ondulato</t>
        </is>
      </c>
      <c r="B16" s="4" t="inlineStr">
        <is>
          <t>pz</t>
        </is>
      </c>
      <c r="C16" s="6">
        <f>'Prezzi 2025'!O16</f>
        <v/>
      </c>
      <c r="D16" s="6">
        <f>'Prezzi 2026'!H16</f>
        <v/>
      </c>
      <c r="E16" s="6">
        <f>D16-C16</f>
        <v/>
      </c>
      <c r="F16" s="8">
        <f>E16/C16</f>
        <v/>
      </c>
      <c r="G16" s="9" t="n">
        <v>240000</v>
      </c>
      <c r="H16" s="10">
        <f>E16*G16</f>
        <v/>
      </c>
      <c r="I16" s="8">
        <f>H16/SUM($H$6:$H$17)</f>
        <v/>
      </c>
      <c r="J16" s="4">
        <f>IF(F16&gt;0.08,"ALTA",IF(F16&gt;0.03,"media","bassa"))</f>
        <v/>
      </c>
    </row>
    <row r="17">
      <c r="A17" s="4" t="inlineStr">
        <is>
          <t>Azoto alimentare</t>
        </is>
      </c>
      <c r="B17" s="4" t="inlineStr">
        <is>
          <t>m3</t>
        </is>
      </c>
      <c r="C17" s="6">
        <f>'Prezzi 2025'!O17</f>
        <v/>
      </c>
      <c r="D17" s="6">
        <f>'Prezzi 2026'!H17</f>
        <v/>
      </c>
      <c r="E17" s="6">
        <f>D17-C17</f>
        <v/>
      </c>
      <c r="F17" s="8">
        <f>E17/C17</f>
        <v/>
      </c>
      <c r="G17" s="9" t="n">
        <v>4800</v>
      </c>
      <c r="H17" s="10">
        <f>E17*G17</f>
        <v/>
      </c>
      <c r="I17" s="8">
        <f>H17/SUM($H$6:$H$17)</f>
        <v/>
      </c>
      <c r="J17" s="4">
        <f>IF(F17&gt;0.08,"ALTA",IF(F17&gt;0.03,"media","bassa"))</f>
        <v/>
      </c>
    </row>
    <row r="18">
      <c r="A18" s="11" t="inlineStr">
        <is>
          <t>IMPATTO TOTALE A VOLUME COSTANTE</t>
        </is>
      </c>
      <c r="H18" s="12">
        <f>SUM(H6:H17)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60" customWidth="1" min="3" max="3"/>
  </cols>
  <sheetData>
    <row r="1">
      <c r="A1" s="1" t="inlineStr">
        <is>
          <t>Impatto dell'aumento MP sul conto economico e sul prezzo di vendita</t>
        </is>
      </c>
    </row>
    <row r="2"/>
    <row r="3"/>
    <row r="4"/>
    <row r="5" ht="28" customHeight="1">
      <c r="A5" s="3" t="inlineStr">
        <is>
          <t>Voce</t>
        </is>
      </c>
      <c r="B5" s="3" t="inlineStr">
        <is>
          <t>Valore</t>
        </is>
      </c>
      <c r="C5" s="3" t="inlineStr">
        <is>
          <t>Note</t>
        </is>
      </c>
    </row>
    <row r="6">
      <c r="A6" s="4" t="inlineStr">
        <is>
          <t>Costo MP a budget 2026</t>
        </is>
      </c>
      <c r="B6" s="10">
        <f>1284000*0.412</f>
        <v/>
      </c>
      <c r="C6" s="4" t="inlineStr">
        <is>
          <t>dal budget economico</t>
        </is>
      </c>
    </row>
    <row r="7">
      <c r="A7" s="4" t="inlineStr">
        <is>
          <t>Impatto aumento prezzi</t>
        </is>
      </c>
      <c r="B7" s="10">
        <f>Delta!H18</f>
        <v/>
      </c>
      <c r="C7" s="4" t="inlineStr"/>
    </row>
    <row r="8">
      <c r="A8" s="4" t="inlineStr">
        <is>
          <t>Costo MP rivisto</t>
        </is>
      </c>
      <c r="B8" s="10">
        <f>B6+B7</f>
        <v/>
      </c>
      <c r="C8" s="4" t="inlineStr"/>
    </row>
    <row r="9">
      <c r="A9" s="4" t="inlineStr">
        <is>
          <t>Incidenza su fatturato budget</t>
        </is>
      </c>
      <c r="B9" s="8">
        <f>B8/13200000</f>
        <v/>
      </c>
      <c r="C9" s="4" t="inlineStr"/>
    </row>
    <row r="10">
      <c r="A10" s="4" t="inlineStr">
        <is>
          <t>Aumento prezzo di vendita necessario a compensare</t>
        </is>
      </c>
      <c r="B10" s="8">
        <f>B7/13200000</f>
        <v/>
      </c>
      <c r="C10" s="4" t="inlineStr"/>
    </row>
    <row r="11">
      <c r="A11" s="4" t="inlineStr">
        <is>
          <t>Aumento richiesto dal cliente (in senso opposto)</t>
        </is>
      </c>
      <c r="B11" s="8" t="n">
        <v>-0.045</v>
      </c>
      <c r="C11" s="4" t="inlineStr">
        <is>
          <t>richiesta buyer Tosano del 05/05/2026</t>
        </is>
      </c>
    </row>
    <row r="12">
      <c r="A12" s="4" t="inlineStr">
        <is>
          <t>Forbice complessiva da recuperare</t>
        </is>
      </c>
      <c r="B12" s="8">
        <f>B10-B11</f>
        <v/>
      </c>
      <c r="C12" s="4" t="inlineStr"/>
    </row>
    <row r="13"/>
    <row r="14">
      <c r="A14" s="7" t="inlineStr">
        <is>
          <t>(L.T.) mettere questo foglio davanti a Rossi alla prossima riunione. I numeri parlano da soli.</t>
        </is>
      </c>
    </row>
    <row r="15">
      <c r="A15" s="13" t="inlineStr">
        <is>
          <t>(G.B.) NO. Non si fanno vedere i costi al cliente. MAI.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876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analisi scostamenti costo materie prime</dc:title>
  <dc:creator>Luisa Trentin</dc:creator>
  <cp:lastModifiedBy>Giancarlo Bertoldi</cp:lastModifiedBy>
  <cp:revision>5</cp:revision>
  <dc:description/>
  <dcterms:created xsi:type="dcterms:W3CDTF">2026-05-17T22:23:19Z</dcterms:created>
  <dcterms:modified xsi:type="dcterms:W3CDTF">2026-08-12T18:23:19Z</dcterms:modified>
  <cp:company>Aurora Food Group S.r.l.</cp:company>
</cp:coreProperties>
</file>