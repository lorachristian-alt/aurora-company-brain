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inta costi" sheetId="1" state="visible" r:id="rId1"/>
    <sheet xmlns:r="http://schemas.openxmlformats.org/officeDocument/2006/relationships" name="Marginalità" sheetId="2" state="visible" r:id="rId2"/>
    <sheet xmlns:r="http://schemas.openxmlformats.org/officeDocument/2006/relationships" name="Simulazione -4,5%" sheetId="3" state="visible" r:id="rId3"/>
    <sheet xmlns:r="http://schemas.openxmlformats.org/officeDocument/2006/relationships" name="Foglio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 &quot;€&quot;"/>
    <numFmt numFmtId="165" formatCode="0.0%"/>
    <numFmt numFmtId="166" formatCode="#,##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i val="1"/>
      <color rgb="009C6500"/>
      <sz val="8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5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6" fillId="3" borderId="0" pivotButton="0" quotePrefix="0" xfId="0"/>
    <xf numFmtId="3" fontId="6" fillId="3" borderId="0" pivotButton="0" quotePrefix="0" xfId="0"/>
    <xf numFmtId="166" fontId="6" fillId="3" borderId="0" pivotButton="0" quotePrefix="0" xfId="0"/>
    <xf numFmtId="165" fontId="7" fillId="0" borderId="0" pivotButton="0" quotePrefix="0" xfId="0"/>
    <xf numFmtId="166" fontId="7" fillId="0" borderId="0" pivotButton="0" quotePrefix="0" xfId="0"/>
    <xf numFmtId="0" fontId="6" fillId="0" borderId="0" pivotButton="0" quotePrefix="0" xfId="0"/>
    <xf numFmtId="166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L.T.</author>
  </authors>
  <commentList>
    <comment ref="C7" authorId="0" shapeId="0">
      <text>
        <t>Trentin: il costo industriale non comprende il costo della non qualità di maggio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1" customWidth="1" min="11" max="11"/>
  </cols>
  <sheetData>
    <row r="1">
      <c r="A1" s="1" t="inlineStr">
        <is>
          <t>Distinta base e costo industriale per referenza - aggiornamento gennaio 2026</t>
        </is>
      </c>
    </row>
    <row r="2">
      <c r="A2" s="2" t="inlineStr">
        <is>
          <t>A. Zanchetta / L. Trentin - i costi MP sono medi ponderati 2025, NON aggiornati dopo aumento olio</t>
        </is>
      </c>
    </row>
    <row r="5" ht="28" customHeight="1">
      <c r="A5" s="3" t="inlineStr">
        <is>
          <t>Cod. art.</t>
        </is>
      </c>
      <c r="B5" s="3" t="inlineStr">
        <is>
          <t>Descrizione</t>
        </is>
      </c>
      <c r="C5" s="3" t="inlineStr">
        <is>
          <t>Peso pz (g)</t>
        </is>
      </c>
      <c r="D5" s="3" t="inlineStr">
        <is>
          <t>Farina €/pz</t>
        </is>
      </c>
      <c r="E5" s="3" t="inlineStr">
        <is>
          <t>Grassi €/pz</t>
        </is>
      </c>
      <c r="F5" s="3" t="inlineStr">
        <is>
          <t>Altri ingr.</t>
        </is>
      </c>
      <c r="G5" s="3" t="inlineStr">
        <is>
          <t>Imballo €/pz</t>
        </is>
      </c>
      <c r="H5" s="3" t="inlineStr">
        <is>
          <t>MP totale</t>
        </is>
      </c>
      <c r="I5" s="3" t="inlineStr">
        <is>
          <t>Manodopera</t>
        </is>
      </c>
      <c r="J5" s="3" t="inlineStr">
        <is>
          <t>Energia</t>
        </is>
      </c>
      <c r="K5" s="3" t="inlineStr">
        <is>
          <t>Costo ind.</t>
        </is>
      </c>
    </row>
    <row r="6">
      <c r="A6" s="4" t="inlineStr">
        <is>
          <t>AF-SN-0450</t>
        </is>
      </c>
      <c r="B6" s="4" t="inlineStr">
        <is>
          <t>Snack salato rustico multicereali 100 g ATM</t>
        </is>
      </c>
      <c r="C6" s="4" t="n">
        <v>100</v>
      </c>
      <c r="D6" s="5" t="n">
        <v>0.2439</v>
      </c>
      <c r="E6" s="5" t="n">
        <v>0.1829</v>
      </c>
      <c r="F6" s="5" t="n">
        <v>0.121</v>
      </c>
      <c r="G6" s="5" t="n">
        <v>0.093</v>
      </c>
      <c r="H6" s="5">
        <f>SUM(D6:G6)</f>
        <v/>
      </c>
      <c r="I6" s="5" t="n">
        <v>0.07099999999999999</v>
      </c>
      <c r="J6" s="5" t="n">
        <v>0.0198</v>
      </c>
      <c r="K6" s="5">
        <f>H6+I6+J6</f>
        <v/>
      </c>
    </row>
    <row r="7">
      <c r="A7" s="4" t="inlineStr">
        <is>
          <t>AF-SN-0455</t>
        </is>
      </c>
      <c r="B7" s="4" t="inlineStr">
        <is>
          <t>Snack salato rustico 100 g promo 3+1</t>
        </is>
      </c>
      <c r="C7" s="4" t="n">
        <v>400</v>
      </c>
      <c r="D7" s="5" t="n">
        <v>0.8046</v>
      </c>
      <c r="E7" s="5" t="n">
        <v>0.6035</v>
      </c>
      <c r="F7" s="5" t="n">
        <v>0.399</v>
      </c>
      <c r="G7" s="5" t="n">
        <v>0.3067</v>
      </c>
      <c r="H7" s="5">
        <f>SUM(D7:G7)</f>
        <v/>
      </c>
      <c r="I7" s="5" t="n">
        <v>0.2341</v>
      </c>
      <c r="J7" s="5" t="n">
        <v>0.06519999999999999</v>
      </c>
      <c r="K7" s="5">
        <f>H7+I7+J7</f>
        <v/>
      </c>
    </row>
    <row r="8">
      <c r="A8" s="4" t="inlineStr">
        <is>
          <t>AF-CR-0212</t>
        </is>
      </c>
      <c r="B8" s="4" t="inlineStr">
        <is>
          <t>Cornetto Premium burro 6x50 g surgelato</t>
        </is>
      </c>
      <c r="C8" s="4" t="n">
        <v>300</v>
      </c>
      <c r="D8" s="5" t="n">
        <v>0.4982</v>
      </c>
      <c r="E8" s="5" t="n">
        <v>0.5157</v>
      </c>
      <c r="F8" s="5" t="n">
        <v>0.1813</v>
      </c>
      <c r="G8" s="5" t="n">
        <v>0.2121</v>
      </c>
      <c r="H8" s="5">
        <f>SUM(D8:G8)</f>
        <v/>
      </c>
      <c r="I8" s="5" t="n">
        <v>0.1741</v>
      </c>
      <c r="J8" s="5" t="n">
        <v>0.0402</v>
      </c>
      <c r="K8" s="5">
        <f>H8+I8+J8</f>
        <v/>
      </c>
    </row>
    <row r="9">
      <c r="A9" s="4" t="inlineStr">
        <is>
          <t>AF-CR-0215</t>
        </is>
      </c>
      <c r="B9" s="4" t="inlineStr">
        <is>
          <t>Cornetto Premium PL Tosano 8x45 g surg.</t>
        </is>
      </c>
      <c r="C9" s="4" t="n">
        <v>360</v>
      </c>
      <c r="D9" s="5" t="n">
        <v>0.5475</v>
      </c>
      <c r="E9" s="5" t="n">
        <v>0.6051</v>
      </c>
      <c r="F9" s="5" t="n">
        <v>0.1982</v>
      </c>
      <c r="G9" s="5" t="n">
        <v>0.2055</v>
      </c>
      <c r="H9" s="5">
        <f>SUM(D9:G9)</f>
        <v/>
      </c>
      <c r="I9" s="5" t="n">
        <v>0.1813</v>
      </c>
      <c r="J9" s="5" t="n">
        <v>0.0417</v>
      </c>
      <c r="K9" s="5">
        <f>H9+I9+J9</f>
        <v/>
      </c>
    </row>
    <row r="10">
      <c r="A10" s="4" t="inlineStr">
        <is>
          <t>AF-FC-0330</t>
        </is>
      </c>
      <c r="B10" s="4" t="inlineStr">
        <is>
          <t>Focaccina olio EVO 2x90 g ATM</t>
        </is>
      </c>
      <c r="C10" s="4" t="n">
        <v>180</v>
      </c>
      <c r="D10" s="5" t="n">
        <v>0.1323</v>
      </c>
      <c r="E10" s="5" t="n">
        <v>0.1026</v>
      </c>
      <c r="F10" s="5" t="n">
        <v>0.067</v>
      </c>
      <c r="G10" s="5" t="n">
        <v>0.07340000000000001</v>
      </c>
      <c r="H10" s="5">
        <f>SUM(D10:G10)</f>
        <v/>
      </c>
      <c r="I10" s="5" t="n">
        <v>0.0866</v>
      </c>
      <c r="J10" s="5" t="n">
        <v>0.0231</v>
      </c>
      <c r="K10" s="5">
        <f>H10+I10+J10</f>
        <v/>
      </c>
    </row>
    <row r="11">
      <c r="A11" s="4" t="inlineStr">
        <is>
          <t>AF-CR-0220</t>
        </is>
      </c>
      <c r="B11" s="4" t="inlineStr">
        <is>
          <t>Sfogliatina bio ai cereali</t>
        </is>
      </c>
      <c r="C11" s="4" t="n">
        <v>240</v>
      </c>
      <c r="D11" s="5" t="n">
        <v>0.2819</v>
      </c>
      <c r="E11" s="5" t="n">
        <v>0.2609</v>
      </c>
      <c r="F11" s="5" t="n">
        <v>0.1539</v>
      </c>
      <c r="G11" s="5" t="n">
        <v>0.1194</v>
      </c>
      <c r="H11" s="5">
        <f>SUM(D11:G11)</f>
        <v/>
      </c>
      <c r="I11" s="5" t="n">
        <v>0.1519</v>
      </c>
      <c r="J11" s="5" t="n">
        <v>0.0361</v>
      </c>
      <c r="K11" s="5">
        <f>H11+I11+J11</f>
        <v/>
      </c>
    </row>
    <row r="13">
      <c r="B13" s="6" t="inlineStr">
        <is>
          <t>n.b. il costo manodopera è quello del 2024 rivalutato a spanne, va rifatto col nuovo CCNL</t>
        </is>
      </c>
    </row>
    <row r="14">
      <c r="B14" s="6" t="inlineStr">
        <is>
          <t>energia: allocata a pz con driver ore-forno, vedi foglio consumi (che però non torna con la bolletta)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9" customWidth="1" min="9" max="9"/>
  </cols>
  <sheetData>
    <row r="1">
      <c r="A1" s="1" t="inlineStr">
        <is>
          <t>Marginalità per referenza e cliente - situazione a maggio 2026</t>
        </is>
      </c>
    </row>
    <row r="5" ht="28" customHeight="1">
      <c r="A5" s="3" t="inlineStr">
        <is>
          <t>Cod. art.</t>
        </is>
      </c>
      <c r="B5" s="3" t="inlineStr">
        <is>
          <t>Cliente</t>
        </is>
      </c>
      <c r="C5" s="3" t="inlineStr">
        <is>
          <t>Prezzo netto</t>
        </is>
      </c>
      <c r="D5" s="3" t="inlineStr">
        <is>
          <t>Costo ind.</t>
        </is>
      </c>
      <c r="E5" s="3" t="inlineStr">
        <is>
          <t>Margine €</t>
        </is>
      </c>
      <c r="F5" s="3" t="inlineStr">
        <is>
          <t>Margine %</t>
        </is>
      </c>
      <c r="G5" s="3" t="inlineStr">
        <is>
          <t>Volumi anno</t>
        </is>
      </c>
      <c r="H5" s="3" t="inlineStr">
        <is>
          <t>Margine totale</t>
        </is>
      </c>
      <c r="I5" s="3" t="inlineStr">
        <is>
          <t>Classe</t>
        </is>
      </c>
    </row>
    <row r="6">
      <c r="A6" s="4" t="inlineStr">
        <is>
          <t>AF-SN-0450</t>
        </is>
      </c>
      <c r="B6" s="4" t="inlineStr">
        <is>
          <t>Tosano Cerea SpA</t>
        </is>
      </c>
      <c r="C6" s="5" t="n">
        <v>0.89</v>
      </c>
      <c r="D6" s="5">
        <f>'Distinta costi'!K6</f>
        <v/>
      </c>
      <c r="E6" s="5">
        <f>C6-D6</f>
        <v/>
      </c>
      <c r="F6" s="7">
        <f>E6/C6</f>
        <v/>
      </c>
      <c r="G6" s="8" t="n">
        <v>1240000</v>
      </c>
      <c r="H6" s="9">
        <f>E6*G6</f>
        <v/>
      </c>
      <c r="I6" s="4">
        <f>IF(F6&gt;0.25,"A",IF(F6&gt;0.12,"B","C"))</f>
        <v/>
      </c>
    </row>
    <row r="7">
      <c r="A7" s="4" t="inlineStr">
        <is>
          <t>AF-SN-0450</t>
        </is>
      </c>
      <c r="B7" s="4" t="inlineStr">
        <is>
          <t>Alì SpA</t>
        </is>
      </c>
      <c r="C7" s="5" t="n">
        <v>0.95</v>
      </c>
      <c r="D7" s="5">
        <f>'Distinta costi'!K6</f>
        <v/>
      </c>
      <c r="E7" s="5">
        <f>C7-D7</f>
        <v/>
      </c>
      <c r="F7" s="7">
        <f>E7/C7</f>
        <v/>
      </c>
      <c r="G7" s="8" t="n">
        <v>318000</v>
      </c>
      <c r="H7" s="9">
        <f>E7*G7</f>
        <v/>
      </c>
      <c r="I7" s="4">
        <f>IF(F7&gt;0.25,"A",IF(F7&gt;0.12,"B","C"))</f>
        <v/>
      </c>
    </row>
    <row r="8">
      <c r="A8" s="4" t="inlineStr">
        <is>
          <t>AF-SN-0455</t>
        </is>
      </c>
      <c r="B8" s="4" t="inlineStr">
        <is>
          <t>Tosano Cerea SpA</t>
        </is>
      </c>
      <c r="C8" s="5" t="n">
        <v>2.89</v>
      </c>
      <c r="D8" s="5">
        <f>'Distinta costi'!K7</f>
        <v/>
      </c>
      <c r="E8" s="5">
        <f>C8-D8</f>
        <v/>
      </c>
      <c r="F8" s="7">
        <f>E8/C8</f>
        <v/>
      </c>
      <c r="G8" s="8" t="n">
        <v>410000</v>
      </c>
      <c r="H8" s="9">
        <f>E8*G8</f>
        <v/>
      </c>
      <c r="I8" s="4">
        <f>IF(F8&gt;0.25,"A",IF(F8&gt;0.12,"B","C"))</f>
        <v/>
      </c>
    </row>
    <row r="9">
      <c r="A9" s="4" t="inlineStr">
        <is>
          <t>AF-CR-0212</t>
        </is>
      </c>
      <c r="B9" s="4" t="inlineStr">
        <is>
          <t>Famila Nordest</t>
        </is>
      </c>
      <c r="C9" s="5" t="n">
        <v>1.98</v>
      </c>
      <c r="D9" s="5">
        <f>'Distinta costi'!K8</f>
        <v/>
      </c>
      <c r="E9" s="5">
        <f>C9-D9</f>
        <v/>
      </c>
      <c r="F9" s="7">
        <f>E9/C9</f>
        <v/>
      </c>
      <c r="G9" s="8" t="n">
        <v>196000</v>
      </c>
      <c r="H9" s="9">
        <f>E9*G9</f>
        <v/>
      </c>
      <c r="I9" s="4">
        <f>IF(F9&gt;0.25,"A",IF(F9&gt;0.12,"B","C"))</f>
        <v/>
      </c>
    </row>
    <row r="10">
      <c r="A10" s="4" t="inlineStr">
        <is>
          <t>AF-CR-0215</t>
        </is>
      </c>
      <c r="B10" s="4" t="inlineStr">
        <is>
          <t>Tosano Cerea SpA</t>
        </is>
      </c>
      <c r="C10" s="5" t="n">
        <v>1.84</v>
      </c>
      <c r="D10" s="5">
        <f>'Distinta costi'!K9</f>
        <v/>
      </c>
      <c r="E10" s="5">
        <f>C10-D10</f>
        <v/>
      </c>
      <c r="F10" s="7">
        <f>E10/C10</f>
        <v/>
      </c>
      <c r="G10" s="8" t="n">
        <v>742000</v>
      </c>
      <c r="H10" s="9">
        <f>E10*G10</f>
        <v/>
      </c>
      <c r="I10" s="4">
        <f>IF(F10&gt;0.25,"A",IF(F10&gt;0.12,"B","C"))</f>
        <v/>
      </c>
    </row>
    <row r="11">
      <c r="A11" s="4" t="inlineStr">
        <is>
          <t>AF-FC-0330</t>
        </is>
      </c>
      <c r="B11" s="4" t="inlineStr">
        <is>
          <t>Rossetto Trade SpA</t>
        </is>
      </c>
      <c r="C11" s="5" t="n">
        <v>0.548</v>
      </c>
      <c r="D11" s="5">
        <f>'Distinta costi'!K10</f>
        <v/>
      </c>
      <c r="E11" s="5">
        <f>C11-D11</f>
        <v/>
      </c>
      <c r="F11" s="7">
        <f>E11/C11</f>
        <v/>
      </c>
      <c r="G11" s="8" t="n">
        <v>264000</v>
      </c>
      <c r="H11" s="9">
        <f>E11*G11</f>
        <v/>
      </c>
      <c r="I11" s="4">
        <f>IF(F11&gt;0.25,"A",IF(F11&gt;0.12,"B","C"))</f>
        <v/>
      </c>
    </row>
    <row r="12">
      <c r="A12" s="4" t="inlineStr">
        <is>
          <t>AF-FC-0330</t>
        </is>
      </c>
      <c r="B12" s="4" t="inlineStr">
        <is>
          <t>Alì SpA</t>
        </is>
      </c>
      <c r="C12" s="5" t="n">
        <v>0.5610000000000001</v>
      </c>
      <c r="D12" s="5">
        <f>'Distinta costi'!K10</f>
        <v/>
      </c>
      <c r="E12" s="5">
        <f>C12-D12</f>
        <v/>
      </c>
      <c r="F12" s="7">
        <f>E12/C12</f>
        <v/>
      </c>
      <c r="G12" s="8" t="n">
        <v>151000</v>
      </c>
      <c r="H12" s="9">
        <f>E12*G12</f>
        <v/>
      </c>
      <c r="I12" s="4">
        <f>IF(F12&gt;0.25,"A",IF(F12&gt;0.12,"B","C"))</f>
        <v/>
      </c>
    </row>
    <row r="13">
      <c r="A13" s="4" t="inlineStr">
        <is>
          <t>AF-CR-0220</t>
        </is>
      </c>
      <c r="B13" s="4" t="inlineStr">
        <is>
          <t>Famila Nordest</t>
        </is>
      </c>
      <c r="C13" s="5" t="n">
        <v>1.289</v>
      </c>
      <c r="D13" s="5">
        <f>'Distinta costi'!K11</f>
        <v/>
      </c>
      <c r="E13" s="5">
        <f>C13-D13</f>
        <v/>
      </c>
      <c r="F13" s="7">
        <f>E13/C13</f>
        <v/>
      </c>
      <c r="G13" s="8" t="n">
        <v>88000</v>
      </c>
      <c r="H13" s="9">
        <f>E13*G13</f>
        <v/>
      </c>
      <c r="I13" s="4">
        <f>IF(F13&gt;0.25,"A",IF(F13&gt;0.12,"B","C"))</f>
        <v/>
      </c>
    </row>
    <row r="14">
      <c r="A14" s="4" t="inlineStr">
        <is>
          <t>AF-CR-0212</t>
        </is>
      </c>
      <c r="B14" s="4" t="inlineStr">
        <is>
          <t>Ho.Re.Ca. grossisti</t>
        </is>
      </c>
      <c r="C14" s="5" t="n">
        <v>2.145</v>
      </c>
      <c r="D14" s="5">
        <f>'Distinta costi'!K8</f>
        <v/>
      </c>
      <c r="E14" s="5">
        <f>C14-D14</f>
        <v/>
      </c>
      <c r="F14" s="7">
        <f>E14/C14</f>
        <v/>
      </c>
      <c r="G14" s="8" t="n">
        <v>64000</v>
      </c>
      <c r="H14" s="9">
        <f>E14*G14</f>
        <v/>
      </c>
      <c r="I14" s="4">
        <f>IF(F14&gt;0.25,"A",IF(F14&gt;0.12,"B","C"))</f>
        <v/>
      </c>
    </row>
    <row r="15">
      <c r="B15" s="10" t="inlineStr">
        <is>
          <t>TOTALE</t>
        </is>
      </c>
      <c r="G15" s="11">
        <f>SUM(G6:G14)</f>
        <v/>
      </c>
      <c r="H15" s="12">
        <f>SUM(H6:H14)</f>
        <v/>
      </c>
    </row>
    <row r="17">
      <c r="B17" s="6" t="inlineStr">
        <is>
          <t>il cliente Tosano pesa il</t>
        </is>
      </c>
      <c r="D17" s="13">
        <f>SUMIF(B6:B14,"Tosano Cerea SpA",H6:H14)/H15</f>
        <v/>
      </c>
      <c r="E17" s="6" t="inlineStr">
        <is>
          <t>del margine totale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4" customWidth="1" min="5" max="5"/>
    <col width="13" customWidth="1" min="6" max="6"/>
    <col width="11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Simulazione richiesta buyer Tosano del 05/05/2026: -4,5% listino + listing fee 12.000 €</t>
        </is>
      </c>
    </row>
    <row r="2">
      <c r="A2" s="2" t="inlineStr">
        <is>
          <t>richiesta da S. Bertoldi il 06/05 - da portare in riunione commerciale</t>
        </is>
      </c>
    </row>
    <row r="5" ht="28" customHeight="1">
      <c r="A5" s="3" t="inlineStr">
        <is>
          <t>Cod. art.</t>
        </is>
      </c>
      <c r="B5" s="3" t="inlineStr">
        <is>
          <t>Prezzo attuale</t>
        </is>
      </c>
      <c r="C5" s="3" t="inlineStr">
        <is>
          <t>Prezzo -4,5%</t>
        </is>
      </c>
      <c r="D5" s="3" t="inlineStr">
        <is>
          <t>Costo ind.</t>
        </is>
      </c>
      <c r="E5" s="3" t="inlineStr">
        <is>
          <t>Margine post €</t>
        </is>
      </c>
      <c r="F5" s="3" t="inlineStr">
        <is>
          <t>Margine post %</t>
        </is>
      </c>
      <c r="G5" s="3" t="inlineStr">
        <is>
          <t>Volumi</t>
        </is>
      </c>
      <c r="H5" s="3" t="inlineStr">
        <is>
          <t>Margine tot post</t>
        </is>
      </c>
      <c r="I5" s="3" t="inlineStr">
        <is>
          <t>Delta vs oggi</t>
        </is>
      </c>
      <c r="J5" s="3" t="inlineStr">
        <is>
          <t>Esito</t>
        </is>
      </c>
    </row>
    <row r="6">
      <c r="A6" s="4" t="inlineStr">
        <is>
          <t>AF-SN-0450</t>
        </is>
      </c>
      <c r="B6" s="5" t="n">
        <v>0.89</v>
      </c>
      <c r="C6" s="5">
        <f>B6*(1-0.045)</f>
        <v/>
      </c>
      <c r="D6" s="5">
        <f>'Distinta costi'!K6</f>
        <v/>
      </c>
      <c r="E6" s="5">
        <f>C6-D6</f>
        <v/>
      </c>
      <c r="F6" s="7">
        <f>E6/C6</f>
        <v/>
      </c>
      <c r="G6" s="8" t="n">
        <v>1240000</v>
      </c>
      <c r="H6" s="9">
        <f>E6*G6</f>
        <v/>
      </c>
      <c r="I6" s="9">
        <f>(B6-D6)*G6-H6</f>
        <v/>
      </c>
      <c r="J6" s="4">
        <f>IF(E6&lt;0,"SOTTO COSTO",IF(F6&lt;0.08,"insostenibile","accettabile"))</f>
        <v/>
      </c>
    </row>
    <row r="7">
      <c r="A7" s="4" t="inlineStr">
        <is>
          <t>AF-SN-0455</t>
        </is>
      </c>
      <c r="B7" s="5" t="n">
        <v>2.89</v>
      </c>
      <c r="C7" s="5">
        <f>B7*(1-0.045)</f>
        <v/>
      </c>
      <c r="D7" s="5">
        <f>'Distinta costi'!K7</f>
        <v/>
      </c>
      <c r="E7" s="5">
        <f>C7-D7</f>
        <v/>
      </c>
      <c r="F7" s="7">
        <f>E7/C7</f>
        <v/>
      </c>
      <c r="G7" s="8" t="n">
        <v>410000</v>
      </c>
      <c r="H7" s="9">
        <f>E7*G7</f>
        <v/>
      </c>
      <c r="I7" s="9">
        <f>(B7-D7)*G7-H7</f>
        <v/>
      </c>
      <c r="J7" s="4">
        <f>IF(E7&lt;0,"SOTTO COSTO",IF(F7&lt;0.08,"insostenibile","accettabile"))</f>
        <v/>
      </c>
    </row>
    <row r="8">
      <c r="A8" s="4" t="inlineStr">
        <is>
          <t>AF-CR-0215</t>
        </is>
      </c>
      <c r="B8" s="5" t="n">
        <v>1.84</v>
      </c>
      <c r="C8" s="5">
        <f>B8*(1-0.045)</f>
        <v/>
      </c>
      <c r="D8" s="5">
        <f>'Distinta costi'!K9</f>
        <v/>
      </c>
      <c r="E8" s="5">
        <f>C8-D8</f>
        <v/>
      </c>
      <c r="F8" s="7">
        <f>E8/C8</f>
        <v/>
      </c>
      <c r="G8" s="8" t="n">
        <v>742000</v>
      </c>
      <c r="H8" s="9">
        <f>E8*G8</f>
        <v/>
      </c>
      <c r="I8" s="9">
        <f>(B8-D8)*G8-H8</f>
        <v/>
      </c>
      <c r="J8" s="4">
        <f>IF(E8&lt;0,"SOTTO COSTO",IF(F8&lt;0.08,"insostenibile","accettabile"))</f>
        <v/>
      </c>
    </row>
    <row r="10">
      <c r="A10" t="inlineStr">
        <is>
          <t>listing fee una tantum richiesta</t>
        </is>
      </c>
      <c r="C10" s="14" t="n">
        <v>-12000</v>
      </c>
    </row>
    <row r="11">
      <c r="A11" s="15" t="inlineStr">
        <is>
          <t>impatto complessivo sul margine annuo</t>
        </is>
      </c>
      <c r="C11" s="16">
        <f>SUM(I6:I8)+C10</f>
        <v/>
      </c>
    </row>
    <row r="13">
      <c r="A13" s="6" t="inlineStr">
        <is>
          <t>NOTA (S.B.): su AF-CR-0215 andiamo sotto il costo industriale. Non è trattabile così.</t>
        </is>
      </c>
    </row>
    <row r="14">
      <c r="A14" s="6" t="inlineStr">
        <is>
          <t>NOTA (G.B.): se perdiamo il Tosano perdiamo metà fabbrica. RIVEDERE I COSTI, non il prezzo.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vecchia simulazione -3% (superata)</t>
        </is>
      </c>
    </row>
    <row r="3">
      <c r="A3" t="inlineStr">
        <is>
          <t>AF-CR-0215</t>
        </is>
      </c>
      <c r="B3" t="n">
        <v>0.8355</v>
      </c>
      <c r="C3">
        <f>B3*0.97</f>
        <v/>
      </c>
      <c r="D3">
        <f>C3-0.7621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88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analisi marginalita per referenza 2026</dc:title>
  <dc:creator>Luisa Trentin</dc:creator>
  <cp:lastModifiedBy>Giancarlo Bertoldi</cp:lastModifiedBy>
  <cp:revision>38</cp:revision>
  <dc:description/>
  <dcterms:created xsi:type="dcterms:W3CDTF">2025-05-22T01:22:34Z</dcterms:created>
  <dcterms:modified xsi:type="dcterms:W3CDTF">2026-06-05T11:22:34Z</dcterms:modified>
  <cp:company>Aurora Food Group S.r.l.</cp:company>
</cp:coreProperties>
</file>