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monte" sheetId="1" state="visible" r:id="rId1"/>
    <sheet xmlns:r="http://schemas.openxmlformats.org/officeDocument/2006/relationships" name="A valle" sheetId="2" state="visible" r:id="rId2"/>
    <sheet xmlns:r="http://schemas.openxmlformats.org/officeDocument/2006/relationships" name="Mass balance" sheetId="3" state="visible" r:id="rId3"/>
    <sheet xmlns:r="http://schemas.openxmlformats.org/officeDocument/2006/relationships" name="Clienti coinvolt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808080"/>
      <sz val="9"/>
    </font>
    <font>
      <name val="Calibri"/>
      <b val="1"/>
      <color rgb="00FFFFFF"/>
      <sz val="9"/>
    </font>
    <font>
      <name val="Calibri"/>
      <sz val="10"/>
    </font>
    <font>
      <name val="Calibri"/>
      <b val="1"/>
      <sz val="10"/>
    </font>
    <font>
      <name val="Calibri"/>
      <i val="1"/>
      <color rgb="009C6500"/>
      <sz val="8"/>
    </font>
    <font>
      <name val="Calibri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1" pivotButton="0" quotePrefix="0" xfId="0"/>
    <xf numFmtId="164" fontId="4" fillId="0" borderId="1" pivotButton="0" quotePrefix="0" xfId="0"/>
    <xf numFmtId="0" fontId="7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14" customWidth="1" min="4" max="4"/>
    <col width="12" customWidth="1" min="5" max="5"/>
    <col width="12" customWidth="1" min="6" max="6"/>
    <col width="7" customWidth="1" min="7" max="7"/>
    <col width="12" customWidth="1" min="8" max="8"/>
    <col width="14" customWidth="1" min="9" max="9"/>
    <col width="34" customWidth="1" min="10" max="10"/>
  </cols>
  <sheetData>
    <row r="1">
      <c r="A1" s="1" t="inlineStr">
        <is>
          <t>TRACCIABILITÀ LOTTO L26130-L1-T2 - ricostruzione a monte</t>
        </is>
      </c>
    </row>
    <row r="2">
      <c r="A2" s="2" t="inlineStr">
        <is>
          <t>compilato in emergenza il 14/05/2026 da S. Pozzato su richiesta di E. Marchetti - DA VERIFICARE</t>
        </is>
      </c>
    </row>
    <row r="3"/>
    <row r="4"/>
    <row r="5" ht="28" customHeight="1">
      <c r="A5" s="3" t="inlineStr">
        <is>
          <t>Materia prima</t>
        </is>
      </c>
      <c r="B5" s="3" t="inlineStr">
        <is>
          <t>Fornitore</t>
        </is>
      </c>
      <c r="C5" s="3" t="inlineStr">
        <is>
          <t>Lotto fornitore</t>
        </is>
      </c>
      <c r="D5" s="3" t="inlineStr">
        <is>
          <t>DDT ingresso</t>
        </is>
      </c>
      <c r="E5" s="3" t="inlineStr">
        <is>
          <t>Data ingresso</t>
        </is>
      </c>
      <c r="F5" s="3" t="inlineStr">
        <is>
          <t>Qtà impiegata</t>
        </is>
      </c>
      <c r="G5" s="3" t="inlineStr">
        <is>
          <t>UM</t>
        </is>
      </c>
      <c r="H5" s="3" t="inlineStr">
        <is>
          <t>TMC</t>
        </is>
      </c>
      <c r="I5" s="3" t="inlineStr">
        <is>
          <t>Certificato</t>
        </is>
      </c>
      <c r="J5" s="3" t="inlineStr">
        <is>
          <t>Note</t>
        </is>
      </c>
    </row>
    <row r="6">
      <c r="A6" s="4" t="inlineStr">
        <is>
          <t>Farina tipo 0 W300</t>
        </is>
      </c>
      <c r="B6" s="4" t="inlineStr">
        <is>
          <t>Molino Veneto SpA</t>
        </is>
      </c>
      <c r="C6" s="4" t="inlineStr">
        <is>
          <t>MV26-0429/A</t>
        </is>
      </c>
      <c r="D6" s="4" t="inlineStr">
        <is>
          <t>48392</t>
        </is>
      </c>
      <c r="E6" s="4" t="inlineStr">
        <is>
          <t>04/05/2026</t>
        </is>
      </c>
      <c r="F6" s="4" t="n">
        <v>840</v>
      </c>
      <c r="G6" s="4" t="inlineStr">
        <is>
          <t>kg</t>
        </is>
      </c>
      <c r="H6" s="4" t="inlineStr">
        <is>
          <t>04/11/2026</t>
        </is>
      </c>
      <c r="I6" s="4" t="inlineStr">
        <is>
          <t>CoA agli atti</t>
        </is>
      </c>
      <c r="J6" s="4" t="inlineStr"/>
    </row>
    <row r="7">
      <c r="A7" s="4" t="inlineStr">
        <is>
          <t>Farina tipo 0 W300</t>
        </is>
      </c>
      <c r="B7" s="4" t="inlineStr">
        <is>
          <t>Molino Veneto SpA</t>
        </is>
      </c>
      <c r="C7" s="4" t="inlineStr">
        <is>
          <t>MV26-0431/B</t>
        </is>
      </c>
      <c r="D7" s="4" t="inlineStr">
        <is>
          <t>48392</t>
        </is>
      </c>
      <c r="E7" s="4" t="inlineStr">
        <is>
          <t>04/05/2026</t>
        </is>
      </c>
      <c r="F7" s="4" t="n">
        <v>210</v>
      </c>
      <c r="G7" s="4" t="inlineStr">
        <is>
          <t>kg</t>
        </is>
      </c>
      <c r="H7" s="4" t="inlineStr">
        <is>
          <t>06/11/2026</t>
        </is>
      </c>
      <c r="I7" s="4" t="inlineStr">
        <is>
          <t>CoA agli atti</t>
        </is>
      </c>
      <c r="J7" s="4" t="inlineStr">
        <is>
          <t>coda bancale precedente</t>
        </is>
      </c>
    </row>
    <row r="8">
      <c r="A8" s="4" t="inlineStr">
        <is>
          <t>Olio girasole alto oleico</t>
        </is>
      </c>
      <c r="B8" s="4" t="inlineStr">
        <is>
          <t>Oleificio Adriatico SpA</t>
        </is>
      </c>
      <c r="C8" s="4" t="inlineStr">
        <is>
          <t>OA-2604-118</t>
        </is>
      </c>
      <c r="D8" s="4" t="inlineStr">
        <is>
          <t>5521</t>
        </is>
      </c>
      <c r="E8" s="4" t="inlineStr">
        <is>
          <t>28/04/2026</t>
        </is>
      </c>
      <c r="F8" s="4" t="n">
        <v>96</v>
      </c>
      <c r="G8" s="4" t="inlineStr">
        <is>
          <t>kg</t>
        </is>
      </c>
      <c r="H8" s="4" t="inlineStr">
        <is>
          <t>28/10/2026</t>
        </is>
      </c>
      <c r="I8" s="4" t="inlineStr">
        <is>
          <t>CoA agli atti</t>
        </is>
      </c>
      <c r="J8" s="4" t="inlineStr"/>
    </row>
    <row r="9">
      <c r="A9" s="4" t="inlineStr">
        <is>
          <t>Semi misti tostati</t>
        </is>
      </c>
      <c r="B9" s="4" t="inlineStr">
        <is>
          <t>Chemifood/terzi</t>
        </is>
      </c>
      <c r="C9" s="4" t="inlineStr">
        <is>
          <t>SM-26-0088</t>
        </is>
      </c>
      <c r="D9" s="4" t="inlineStr">
        <is>
          <t>3312</t>
        </is>
      </c>
      <c r="E9" s="4" t="inlineStr">
        <is>
          <t>22/04/2026</t>
        </is>
      </c>
      <c r="F9" s="4" t="n">
        <v>38</v>
      </c>
      <c r="G9" s="4" t="inlineStr">
        <is>
          <t>kg</t>
        </is>
      </c>
      <c r="H9" s="4" t="inlineStr">
        <is>
          <t>22/02/2027</t>
        </is>
      </c>
      <c r="I9" s="4" t="inlineStr"/>
      <c r="J9" s="4" t="inlineStr"/>
    </row>
    <row r="10">
      <c r="A10" s="4" t="inlineStr">
        <is>
          <t>Lievito compresso</t>
        </is>
      </c>
      <c r="B10" s="4" t="inlineStr">
        <is>
          <t>Lievital Srl</t>
        </is>
      </c>
      <c r="C10" s="4" t="inlineStr">
        <is>
          <t>LV26-1180</t>
        </is>
      </c>
      <c r="D10" s="4" t="inlineStr">
        <is>
          <t>9922</t>
        </is>
      </c>
      <c r="E10" s="4" t="inlineStr">
        <is>
          <t>07/05/2026</t>
        </is>
      </c>
      <c r="F10" s="4" t="n">
        <v>21</v>
      </c>
      <c r="G10" s="4" t="inlineStr">
        <is>
          <t>kg</t>
        </is>
      </c>
      <c r="H10" s="4" t="inlineStr">
        <is>
          <t>21/05/2026</t>
        </is>
      </c>
      <c r="I10" s="4" t="inlineStr"/>
      <c r="J10" s="4" t="inlineStr">
        <is>
          <t>consumato quasi a scadenza</t>
        </is>
      </c>
    </row>
    <row r="11">
      <c r="A11" s="4" t="inlineStr">
        <is>
          <t>Sale marino fino</t>
        </is>
      </c>
      <c r="B11" s="4" t="inlineStr">
        <is>
          <t>-</t>
        </is>
      </c>
      <c r="C11" s="4" t="inlineStr">
        <is>
          <t>SL-25-4410</t>
        </is>
      </c>
      <c r="D11" s="4" t="inlineStr">
        <is>
          <t>-</t>
        </is>
      </c>
      <c r="E11" s="4" t="inlineStr">
        <is>
          <t>12/03/2026</t>
        </is>
      </c>
      <c r="F11" s="4" t="n">
        <v>14.5</v>
      </c>
      <c r="G11" s="4" t="inlineStr">
        <is>
          <t>kg</t>
        </is>
      </c>
      <c r="H11" s="4" t="inlineStr">
        <is>
          <t>12/03/2028</t>
        </is>
      </c>
      <c r="I11" s="4" t="inlineStr"/>
      <c r="J11" s="4" t="inlineStr"/>
    </row>
    <row r="12">
      <c r="A12" s="4" t="inlineStr">
        <is>
          <t>Film MAP PP/EVOH FLEXBAR 65 AZ</t>
        </is>
      </c>
      <c r="B12" s="4" t="inlineStr">
        <is>
          <t>Flexipack Nordest Srl</t>
        </is>
      </c>
      <c r="C12" s="4" t="inlineStr">
        <is>
          <t>FX26-0338</t>
        </is>
      </c>
      <c r="D12" s="4" t="inlineStr">
        <is>
          <t>7741</t>
        </is>
      </c>
      <c r="E12" s="4" t="inlineStr">
        <is>
          <t>30/04/2026</t>
        </is>
      </c>
      <c r="F12" s="4" t="n">
        <v>62</v>
      </c>
      <c r="G12" s="4" t="inlineStr">
        <is>
          <t>kg</t>
        </is>
      </c>
      <c r="H12" s="4" t="inlineStr">
        <is>
          <t>-</t>
        </is>
      </c>
      <c r="I12" s="4" t="inlineStr">
        <is>
          <t>DoC DC-2026-041</t>
        </is>
      </c>
      <c r="J12" s="4" t="inlineStr">
        <is>
          <t>bobine n. 4 - usata anche su L26131</t>
        </is>
      </c>
    </row>
    <row r="13">
      <c r="A13" s="4" t="inlineStr">
        <is>
          <t>Vaschetta PP 100 g</t>
        </is>
      </c>
      <c r="B13" s="4" t="inlineStr">
        <is>
          <t>Flexipack Nordest Srl</t>
        </is>
      </c>
      <c r="C13" s="4" t="inlineStr">
        <is>
          <t>FX26-0290</t>
        </is>
      </c>
      <c r="D13" s="4" t="inlineStr">
        <is>
          <t>7741</t>
        </is>
      </c>
      <c r="E13" s="4" t="inlineStr">
        <is>
          <t>30/04/2026</t>
        </is>
      </c>
      <c r="F13" s="4" t="n">
        <v>8600</v>
      </c>
      <c r="G13" s="4" t="inlineStr">
        <is>
          <t>pz</t>
        </is>
      </c>
      <c r="H13" s="4" t="inlineStr">
        <is>
          <t>-</t>
        </is>
      </c>
      <c r="I13" s="4" t="inlineStr">
        <is>
          <t>DoC DC-2026-041</t>
        </is>
      </c>
      <c r="J13" s="4" t="inlineStr"/>
    </row>
    <row r="14">
      <c r="A14" s="4" t="inlineStr">
        <is>
          <t>Azoto alimentare E941</t>
        </is>
      </c>
      <c r="B14" s="4" t="inlineStr">
        <is>
          <t>Nordgas SpA</t>
        </is>
      </c>
      <c r="C14" s="4" t="inlineStr">
        <is>
          <t>NG-26-0506</t>
        </is>
      </c>
      <c r="D14" s="4" t="inlineStr">
        <is>
          <t>BN-4471</t>
        </is>
      </c>
      <c r="E14" s="4" t="inlineStr">
        <is>
          <t>06/05/2026</t>
        </is>
      </c>
      <c r="F14" s="4" t="n">
        <v>42</v>
      </c>
      <c r="G14" s="4" t="inlineStr">
        <is>
          <t>m3</t>
        </is>
      </c>
      <c r="H14" s="4" t="inlineStr">
        <is>
          <t>-</t>
        </is>
      </c>
      <c r="I14" s="4" t="inlineStr">
        <is>
          <t>CoA gas</t>
        </is>
      </c>
      <c r="J14" s="4" t="inlineStr">
        <is>
          <t>serbatoio S2</t>
        </is>
      </c>
    </row>
    <row r="15"/>
    <row r="16">
      <c r="A16" s="5" t="inlineStr">
        <is>
          <t>impasto totale teorico</t>
        </is>
      </c>
      <c r="F16" s="5">
        <f>SUMIF(G6:G11,"kg",F6:F11)</f>
        <v/>
      </c>
    </row>
    <row r="17"/>
    <row r="18">
      <c r="A18" s="6" t="inlineStr">
        <is>
          <t>(S.P.) il lotto lievito LV26-1180 scadeva il 21/05, verificare se è stato usato anche il 11/05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1" customWidth="1" min="5" max="5"/>
    <col width="24" customWidth="1" min="6" max="6"/>
    <col width="26" customWidth="1" min="7" max="7"/>
    <col width="11" customWidth="1" min="8" max="8"/>
    <col width="18" customWidth="1" min="9" max="9"/>
    <col width="12" customWidth="1" min="10" max="10"/>
  </cols>
  <sheetData>
    <row r="1">
      <c r="A1" s="1" t="inlineStr">
        <is>
          <t>Destinazione del prodotto finito - lotti L26130 e L26131</t>
        </is>
      </c>
    </row>
    <row r="2"/>
    <row r="3"/>
    <row r="4"/>
    <row r="5" ht="28" customHeight="1">
      <c r="A5" s="3" t="inlineStr">
        <is>
          <t>Lotto</t>
        </is>
      </c>
      <c r="B5" s="3" t="inlineStr">
        <is>
          <t>Cod. art.</t>
        </is>
      </c>
      <c r="C5" s="3" t="inlineStr">
        <is>
          <t>Pz prodotti</t>
        </is>
      </c>
      <c r="D5" s="3" t="inlineStr">
        <is>
          <t>DDT uscita</t>
        </is>
      </c>
      <c r="E5" s="3" t="inlineStr">
        <is>
          <t>Data</t>
        </is>
      </c>
      <c r="F5" s="3" t="inlineStr">
        <is>
          <t>Cliente</t>
        </is>
      </c>
      <c r="G5" s="3" t="inlineStr">
        <is>
          <t>Destinazione</t>
        </is>
      </c>
      <c r="H5" s="3" t="inlineStr">
        <is>
          <t>Pz spediti</t>
        </is>
      </c>
      <c r="I5" s="3" t="inlineStr">
        <is>
          <t>Stato</t>
        </is>
      </c>
      <c r="J5" s="3" t="inlineStr">
        <is>
          <t>Rintracciato</t>
        </is>
      </c>
    </row>
    <row r="6">
      <c r="A6" s="4" t="inlineStr">
        <is>
          <t>L26130-L1-T2</t>
        </is>
      </c>
      <c r="B6" s="4" t="inlineStr">
        <is>
          <t>AF-SN-0450</t>
        </is>
      </c>
      <c r="C6" s="4" t="n">
        <v>8940</v>
      </c>
      <c r="D6" s="4" t="inlineStr">
        <is>
          <t>2026/1188</t>
        </is>
      </c>
      <c r="E6" s="4" t="inlineStr">
        <is>
          <t>11/05/2026</t>
        </is>
      </c>
      <c r="F6" s="4" t="inlineStr">
        <is>
          <t>Tosano Cerea SpA</t>
        </is>
      </c>
      <c r="G6" s="4" t="inlineStr">
        <is>
          <t>CE.DI. Cerea (VR)</t>
        </is>
      </c>
      <c r="H6" s="4" t="n">
        <v>5100</v>
      </c>
      <c r="I6" s="4" t="inlineStr">
        <is>
          <t>A SCAFFALE</t>
        </is>
      </c>
      <c r="J6" s="4" t="inlineStr">
        <is>
          <t>parziale</t>
        </is>
      </c>
    </row>
    <row r="7">
      <c r="A7" s="7" t="inlineStr">
        <is>
          <t>L26130-L1-T2</t>
        </is>
      </c>
      <c r="B7" s="7" t="inlineStr">
        <is>
          <t>AF-SN-0450</t>
        </is>
      </c>
      <c r="C7" s="7" t="n"/>
      <c r="D7" s="7" t="inlineStr">
        <is>
          <t>2026/1191</t>
        </is>
      </c>
      <c r="E7" s="7" t="inlineStr">
        <is>
          <t>11/05/2026</t>
        </is>
      </c>
      <c r="F7" s="7" t="inlineStr">
        <is>
          <t>Alì SpA</t>
        </is>
      </c>
      <c r="G7" s="7" t="inlineStr">
        <is>
          <t>CE.DI. Padova</t>
        </is>
      </c>
      <c r="H7" s="7" t="n">
        <v>1440</v>
      </c>
      <c r="I7" s="7" t="inlineStr">
        <is>
          <t>BLOCCATO C/O CLIENTE</t>
        </is>
      </c>
      <c r="J7" s="7" t="inlineStr">
        <is>
          <t>sì</t>
        </is>
      </c>
    </row>
    <row r="8">
      <c r="A8" s="7" t="inlineStr">
        <is>
          <t>L26130-L1-T2</t>
        </is>
      </c>
      <c r="B8" s="7" t="inlineStr">
        <is>
          <t>AF-SN-0450</t>
        </is>
      </c>
      <c r="C8" s="7" t="n"/>
      <c r="D8" s="7" t="inlineStr"/>
      <c r="E8" s="7" t="inlineStr"/>
      <c r="F8" s="7" t="inlineStr"/>
      <c r="G8" s="7" t="inlineStr">
        <is>
          <t>giacenza magazzino Aurora</t>
        </is>
      </c>
      <c r="H8" s="7" t="n">
        <v>1180</v>
      </c>
      <c r="I8" s="7" t="inlineStr">
        <is>
          <t>BLOCCATO QA</t>
        </is>
      </c>
      <c r="J8" s="7" t="inlineStr">
        <is>
          <t>sì</t>
        </is>
      </c>
    </row>
    <row r="9">
      <c r="A9" s="4" t="inlineStr">
        <is>
          <t>L26130-L1-T2</t>
        </is>
      </c>
      <c r="B9" s="4" t="inlineStr">
        <is>
          <t>AF-SN-0450</t>
        </is>
      </c>
      <c r="C9" s="4" t="n"/>
      <c r="D9" s="4" t="inlineStr"/>
      <c r="E9" s="4" t="inlineStr"/>
      <c r="F9" s="4" t="inlineStr"/>
      <c r="G9" s="4" t="inlineStr">
        <is>
          <t>scarti di linea / campioni</t>
        </is>
      </c>
      <c r="H9" s="4" t="n">
        <v>220</v>
      </c>
      <c r="I9" s="4" t="inlineStr">
        <is>
          <t>DISTRUTTO</t>
        </is>
      </c>
      <c r="J9" s="4" t="inlineStr">
        <is>
          <t>sì</t>
        </is>
      </c>
    </row>
    <row r="10">
      <c r="A10" s="4" t="inlineStr">
        <is>
          <t>L26131-L1-T2</t>
        </is>
      </c>
      <c r="B10" s="4" t="inlineStr">
        <is>
          <t>AF-SN-0450</t>
        </is>
      </c>
      <c r="C10" s="4" t="n">
        <v>7620</v>
      </c>
      <c r="D10" s="4" t="inlineStr">
        <is>
          <t>2026/1204</t>
        </is>
      </c>
      <c r="E10" s="4" t="inlineStr">
        <is>
          <t>12/05/2026</t>
        </is>
      </c>
      <c r="F10" s="4" t="inlineStr">
        <is>
          <t>Tosano Cerea SpA</t>
        </is>
      </c>
      <c r="G10" s="4" t="inlineStr">
        <is>
          <t>CE.DI. Cerea (VR)</t>
        </is>
      </c>
      <c r="H10" s="4" t="n">
        <v>4260</v>
      </c>
      <c r="I10" s="4" t="inlineStr">
        <is>
          <t>A SCAFFALE</t>
        </is>
      </c>
      <c r="J10" s="4" t="inlineStr">
        <is>
          <t>parziale</t>
        </is>
      </c>
    </row>
    <row r="11">
      <c r="A11" s="7" t="inlineStr">
        <is>
          <t>L26131-L1-T2</t>
        </is>
      </c>
      <c r="B11" s="7" t="inlineStr">
        <is>
          <t>AF-SN-0450</t>
        </is>
      </c>
      <c r="C11" s="7" t="n"/>
      <c r="D11" s="7" t="inlineStr">
        <is>
          <t>2026/1206</t>
        </is>
      </c>
      <c r="E11" s="7" t="inlineStr">
        <is>
          <t>12/05/2026</t>
        </is>
      </c>
      <c r="F11" s="7" t="inlineStr">
        <is>
          <t>Rossetto Trade SpA</t>
        </is>
      </c>
      <c r="G11" s="7" t="inlineStr">
        <is>
          <t>CE.DI. Villafranca</t>
        </is>
      </c>
      <c r="H11" s="7" t="n">
        <v>980</v>
      </c>
      <c r="I11" s="7" t="inlineStr">
        <is>
          <t>RICHIAMATO</t>
        </is>
      </c>
      <c r="J11" s="7" t="inlineStr">
        <is>
          <t>sì</t>
        </is>
      </c>
    </row>
    <row r="12">
      <c r="A12" s="7" t="inlineStr">
        <is>
          <t>L26131-L1-T2</t>
        </is>
      </c>
      <c r="B12" s="7" t="inlineStr">
        <is>
          <t>AF-SN-0450</t>
        </is>
      </c>
      <c r="C12" s="7" t="n"/>
      <c r="D12" s="7" t="inlineStr"/>
      <c r="E12" s="7" t="inlineStr"/>
      <c r="F12" s="7" t="inlineStr"/>
      <c r="G12" s="7" t="inlineStr">
        <is>
          <t>giacenza magazzino Aurora</t>
        </is>
      </c>
      <c r="H12" s="7" t="n">
        <v>2380</v>
      </c>
      <c r="I12" s="7" t="inlineStr">
        <is>
          <t>BLOCCATO QA</t>
        </is>
      </c>
      <c r="J12" s="7" t="inlineStr">
        <is>
          <t>sì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Bilancio di massa - verifica di quadratura (requisito BRCGS cl. 3.9.2)</t>
        </is>
      </c>
    </row>
    <row r="2"/>
    <row r="3"/>
    <row r="4"/>
    <row r="5" ht="28" customHeight="1">
      <c r="A5" s="3" t="inlineStr">
        <is>
          <t>Lotto</t>
        </is>
      </c>
      <c r="B5" s="3" t="inlineStr">
        <is>
          <t>Pz prodotti</t>
        </is>
      </c>
      <c r="C5" s="3" t="inlineStr">
        <is>
          <t>Pz spediti</t>
        </is>
      </c>
      <c r="D5" s="3" t="inlineStr">
        <is>
          <t>Pz in giacenza</t>
        </is>
      </c>
      <c r="E5" s="3" t="inlineStr">
        <is>
          <t>Pz distrutti</t>
        </is>
      </c>
      <c r="F5" s="3" t="inlineStr">
        <is>
          <t>Totale rendicontato</t>
        </is>
      </c>
      <c r="G5" s="3" t="inlineStr">
        <is>
          <t>Differenza</t>
        </is>
      </c>
      <c r="H5" s="3" t="inlineStr">
        <is>
          <t>Quadratura %</t>
        </is>
      </c>
      <c r="I5" s="3" t="inlineStr">
        <is>
          <t>Esito</t>
        </is>
      </c>
    </row>
    <row r="6">
      <c r="A6" s="4" t="inlineStr">
        <is>
          <t>L26130-L1-T2</t>
        </is>
      </c>
      <c r="B6" s="4" t="n">
        <v>8940</v>
      </c>
      <c r="C6" s="4">
        <f>5100+1440</f>
        <v/>
      </c>
      <c r="D6" s="4" t="n">
        <v>1180</v>
      </c>
      <c r="E6" s="4" t="n">
        <v>220</v>
      </c>
      <c r="F6" s="4">
        <f>C6+D6+E6</f>
        <v/>
      </c>
      <c r="G6" s="4">
        <f>B6-F6</f>
        <v/>
      </c>
      <c r="H6" s="8">
        <f>F6/B6</f>
        <v/>
      </c>
      <c r="I6" s="4">
        <f>IF(ABS(G6)&lt;=B6*0.01,"quadra","NON QUADRA")</f>
        <v/>
      </c>
    </row>
    <row r="7">
      <c r="A7" s="4" t="inlineStr">
        <is>
          <t>L26131-L1-T2</t>
        </is>
      </c>
      <c r="B7" s="4" t="n">
        <v>7620</v>
      </c>
      <c r="C7" s="4">
        <f>4260+980</f>
        <v/>
      </c>
      <c r="D7" s="4" t="n">
        <v>2380</v>
      </c>
      <c r="E7" s="4" t="n">
        <v>0</v>
      </c>
      <c r="F7" s="4">
        <f>C7+D7+E7</f>
        <v/>
      </c>
      <c r="G7" s="4">
        <f>B7-F7</f>
        <v/>
      </c>
      <c r="H7" s="8">
        <f>F7/B7</f>
        <v/>
      </c>
      <c r="I7" s="4">
        <f>IF(ABS(G7)&lt;=B7*0.01,"quadra","NON QUADRA")</f>
        <v/>
      </c>
    </row>
    <row r="8"/>
    <row r="9">
      <c r="A9" s="5" t="inlineStr">
        <is>
          <t>scostamento non spiegato su L26130:</t>
        </is>
      </c>
      <c r="D9" s="9">
        <f>G6</f>
        <v/>
      </c>
    </row>
    <row r="10">
      <c r="A10" s="6" t="inlineStr">
        <is>
          <t>ipotesi: pz prelevati per il panel test del 11/05 e non registrati su MOD-MAG-02</t>
        </is>
      </c>
    </row>
    <row r="11">
      <c r="A11" s="6" t="inlineStr">
        <is>
          <t>(E.M.) NON possiamo presentare un mass balance che non quadra all'audit. Ivano deve dirmi dove sono finiti.</t>
        </is>
      </c>
    </row>
    <row r="12"/>
    <row r="13">
      <c r="A13" t="inlineStr">
        <is>
          <t>tempo di ricostruzione:</t>
        </is>
      </c>
      <c r="C13" t="inlineStr">
        <is>
          <t>4 h 20 min</t>
        </is>
      </c>
    </row>
    <row r="14">
      <c r="A14" t="inlineStr">
        <is>
          <t>target BRCGS:</t>
        </is>
      </c>
      <c r="C14" s="10" t="inlineStr">
        <is>
          <t>&lt; 4 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5" customWidth="1" min="4" max="4"/>
    <col width="30" customWidth="1" min="5" max="5"/>
    <col width="11" customWidth="1" min="6" max="6"/>
    <col width="12" customWidth="1" min="7" max="7"/>
    <col width="8" customWidth="1" min="8" max="8"/>
    <col width="20" customWidth="1" min="9" max="9"/>
    <col width="34" customWidth="1" min="10" max="10"/>
  </cols>
  <sheetData>
    <row r="1">
      <c r="A1" s="1" t="inlineStr">
        <is>
          <t>Clienti da avvisare in caso di ritiro - contatti e stato della comunicazione</t>
        </is>
      </c>
    </row>
    <row r="2"/>
    <row r="3"/>
    <row r="4"/>
    <row r="5" ht="28" customHeight="1">
      <c r="A5" s="3" t="inlineStr">
        <is>
          <t>Cliente</t>
        </is>
      </c>
      <c r="B5" s="3" t="inlineStr">
        <is>
          <t>Referente</t>
        </is>
      </c>
      <c r="C5" s="3" t="inlineStr">
        <is>
          <t>Ruolo</t>
        </is>
      </c>
      <c r="D5" s="3" t="inlineStr">
        <is>
          <t>Telefono</t>
        </is>
      </c>
      <c r="E5" s="3" t="inlineStr">
        <is>
          <t>Email</t>
        </is>
      </c>
      <c r="F5" s="3" t="inlineStr">
        <is>
          <t>Pz coinvolti</t>
        </is>
      </c>
      <c r="G5" s="3" t="inlineStr">
        <is>
          <t>Avvisato il</t>
        </is>
      </c>
      <c r="H5" s="3" t="inlineStr">
        <is>
          <t>Ora</t>
        </is>
      </c>
      <c r="I5" s="3" t="inlineStr">
        <is>
          <t>Esito contatto</t>
        </is>
      </c>
      <c r="J5" s="3" t="inlineStr">
        <is>
          <t>Note</t>
        </is>
      </c>
    </row>
    <row r="6">
      <c r="A6" s="4" t="inlineStr">
        <is>
          <t>Tosano Cerea SpA</t>
        </is>
      </c>
      <c r="B6" s="4" t="inlineStr">
        <is>
          <t>dott.ssa Anna Perbellini</t>
        </is>
      </c>
      <c r="C6" s="4" t="inlineStr">
        <is>
          <t>Assicurazione Qualità</t>
        </is>
      </c>
      <c r="D6" s="4" t="inlineStr">
        <is>
          <t>045 764 2210</t>
        </is>
      </c>
      <c r="E6" s="4" t="inlineStr">
        <is>
          <t>qualita@tosanocerea.it</t>
        </is>
      </c>
      <c r="F6" s="4" t="n">
        <v>9360</v>
      </c>
      <c r="G6" s="4" t="inlineStr">
        <is>
          <t>14/05/2026</t>
        </is>
      </c>
      <c r="H6" s="4" t="inlineStr">
        <is>
          <t>09:15</t>
        </is>
      </c>
      <c r="I6" s="4" t="inlineStr">
        <is>
          <t>chiede relazione 48h</t>
        </is>
      </c>
      <c r="J6" s="4" t="inlineStr">
        <is>
          <t>ha già bloccato a sistema</t>
        </is>
      </c>
    </row>
    <row r="7">
      <c r="A7" s="4" t="inlineStr">
        <is>
          <t>Tosano Cerea SpA</t>
        </is>
      </c>
      <c r="B7" s="4" t="inlineStr">
        <is>
          <t>Luca Vantini</t>
        </is>
      </c>
      <c r="C7" s="4" t="inlineStr">
        <is>
          <t>Ricevimento CE.DI.</t>
        </is>
      </c>
      <c r="D7" s="4" t="inlineStr">
        <is>
          <t>045 764 2218</t>
        </is>
      </c>
      <c r="E7" s="4" t="inlineStr">
        <is>
          <t>cedi.cerea@tosanocerea.it</t>
        </is>
      </c>
      <c r="F7" s="4" t="n">
        <v>9360</v>
      </c>
      <c r="G7" s="4" t="inlineStr">
        <is>
          <t>14/05/2026</t>
        </is>
      </c>
      <c r="H7" s="4" t="inlineStr">
        <is>
          <t>09:40</t>
        </is>
      </c>
      <c r="I7" s="4" t="inlineStr">
        <is>
          <t>informato</t>
        </is>
      </c>
      <c r="J7" s="4" t="inlineStr"/>
    </row>
    <row r="8">
      <c r="A8" s="4" t="inlineStr">
        <is>
          <t>Alì SpA</t>
        </is>
      </c>
      <c r="B8" s="4" t="inlineStr">
        <is>
          <t>dott. Fabio Meneghini</t>
        </is>
      </c>
      <c r="C8" s="4" t="inlineStr">
        <is>
          <t>Qualità</t>
        </is>
      </c>
      <c r="D8" s="4" t="inlineStr">
        <is>
          <t>049 892 1140</t>
        </is>
      </c>
      <c r="E8" s="4" t="inlineStr">
        <is>
          <t>qualita@alisupermercati.it</t>
        </is>
      </c>
      <c r="F8" s="4" t="n">
        <v>1440</v>
      </c>
      <c r="G8" s="4" t="inlineStr">
        <is>
          <t>14/05/2026</t>
        </is>
      </c>
      <c r="H8" s="4" t="inlineStr">
        <is>
          <t>11:20</t>
        </is>
      </c>
      <c r="I8" s="4" t="inlineStr">
        <is>
          <t>merce bloccata in cedi</t>
        </is>
      </c>
      <c r="J8" s="4" t="inlineStr"/>
    </row>
    <row r="9">
      <c r="A9" s="4" t="inlineStr">
        <is>
          <t>Rossetto Trade SpA</t>
        </is>
      </c>
      <c r="B9" s="4" t="inlineStr">
        <is>
          <t>Sandra Bortolotti</t>
        </is>
      </c>
      <c r="C9" s="4" t="inlineStr">
        <is>
          <t>Acquisti</t>
        </is>
      </c>
      <c r="D9" s="4" t="inlineStr">
        <is>
          <t>045 630 8890</t>
        </is>
      </c>
      <c r="E9" s="4" t="inlineStr">
        <is>
          <t>acquisti@rossettotrade.it</t>
        </is>
      </c>
      <c r="F9" s="4" t="n">
        <v>980</v>
      </c>
      <c r="G9" s="4" t="inlineStr">
        <is>
          <t>15/05/2026</t>
        </is>
      </c>
      <c r="H9" s="4" t="inlineStr">
        <is>
          <t>08:05</t>
        </is>
      </c>
      <c r="I9" s="4" t="inlineStr">
        <is>
          <t>richiamo autorizzato</t>
        </is>
      </c>
      <c r="J9" s="4" t="inlineStr">
        <is>
          <t>vuole nota di credito</t>
        </is>
      </c>
    </row>
    <row r="10">
      <c r="A10" s="4" t="inlineStr">
        <is>
          <t>Famila Nordest</t>
        </is>
      </c>
      <c r="B10" s="4" t="inlineStr">
        <is>
          <t>-</t>
        </is>
      </c>
      <c r="C10" s="4" t="inlineStr">
        <is>
          <t>-</t>
        </is>
      </c>
      <c r="D10" s="4" t="inlineStr"/>
      <c r="E10" s="4" t="inlineStr"/>
      <c r="F10" s="4" t="n">
        <v>0</v>
      </c>
      <c r="G10" s="4" t="inlineStr"/>
      <c r="H10" s="4" t="inlineStr"/>
      <c r="I10" s="4" t="inlineStr">
        <is>
          <t>non coinvolto</t>
        </is>
      </c>
      <c r="J10" s="4" t="inlineStr">
        <is>
          <t>referenza diversa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Aurora Food Group S.r.l.</Company>
  <AppVersion>16.0300</AppVersion>
  <TotalTime>482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tracciabilita lotti massbalance L26130</dc:title>
  <dc:creator>Sara Pozzato</dc:creator>
  <cp:lastModifiedBy>Elena Marchetti</cp:lastModifiedBy>
  <cp:revision>9</cp:revision>
  <dc:description/>
  <dcterms:created xsi:type="dcterms:W3CDTF">2026-07-07T08:23:20Z</dcterms:created>
  <dcterms:modified xsi:type="dcterms:W3CDTF">2026-08-12T18:23:20Z</dcterms:modified>
  <cp:company>Aurora Food Group S.r.l.</cp:company>
</cp:coreProperties>
</file>