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 19" sheetId="1" state="visible" r:id="rId1"/>
    <sheet xmlns:r="http://schemas.openxmlformats.org/officeDocument/2006/relationships" name="Sett 20" sheetId="2" state="visible" r:id="rId2"/>
    <sheet xmlns:r="http://schemas.openxmlformats.org/officeDocument/2006/relationships" name="Sett 21" sheetId="3" state="visible" r:id="rId3"/>
    <sheet xmlns:r="http://schemas.openxmlformats.org/officeDocument/2006/relationships" name="Fabbisogno M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808080"/>
      <sz val="9"/>
    </font>
    <font>
      <name val="Calibri"/>
      <b val="1"/>
      <color rgb="00FFFFFF"/>
      <sz val="9"/>
    </font>
    <font>
      <name val="Calibri"/>
      <sz val="10"/>
    </font>
    <font>
      <name val="Calibri"/>
      <b val="1"/>
      <sz val="10"/>
    </font>
    <font>
      <name val="Calibri"/>
      <i val="1"/>
      <color rgb="009C6500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2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64" fontId="4" fillId="3" borderId="1" pivotButton="0" quotePrefix="0" xfId="0"/>
    <xf numFmtId="0" fontId="5" fillId="0" borderId="0" pivotButton="0" quotePrefix="0" xfId="0"/>
    <xf numFmtId="3" fontId="5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166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7" customWidth="1" min="3" max="3"/>
    <col width="12" customWidth="1" min="4" max="4"/>
    <col width="16" customWidth="1" min="5" max="5"/>
    <col width="13" customWidth="1" min="6" max="6"/>
    <col width="15" customWidth="1" min="7" max="7"/>
    <col width="12" customWidth="1" min="8" max="8"/>
    <col width="13" customWidth="1" min="9" max="9"/>
    <col width="15" customWidth="1" min="10" max="10"/>
    <col width="16" customWidth="1" min="11" max="11"/>
    <col width="10" customWidth="1" min="12" max="12"/>
    <col width="40" customWidth="1" min="13" max="13"/>
  </cols>
  <sheetData>
    <row r="1">
      <c r="A1" s="1" t="inlineStr">
        <is>
          <t>Piano di produzione Sett 19 - promo Sottocosto Primavera Tosano</t>
        </is>
      </c>
    </row>
    <row r="2">
      <c r="A2" s="2" t="inlineStr">
        <is>
          <t>D. Zanella - stampato il venerdì precedente, modificato a mano durante la settimana</t>
        </is>
      </c>
    </row>
    <row r="5" ht="28" customHeight="1">
      <c r="A5" s="3" t="inlineStr">
        <is>
          <t>Giorno</t>
        </is>
      </c>
      <c r="B5" s="3" t="inlineStr">
        <is>
          <t>Linea</t>
        </is>
      </c>
      <c r="C5" s="3" t="inlineStr">
        <is>
          <t>Turno</t>
        </is>
      </c>
      <c r="D5" s="3" t="inlineStr">
        <is>
          <t>Cod. art.</t>
        </is>
      </c>
      <c r="E5" s="3" t="inlineStr">
        <is>
          <t>Ordine cliente</t>
        </is>
      </c>
      <c r="F5" s="3" t="inlineStr">
        <is>
          <t>Pz da produrre</t>
        </is>
      </c>
      <c r="G5" s="3" t="inlineStr">
        <is>
          <t>Tempo ciclo (pz/h)</t>
        </is>
      </c>
      <c r="H5" s="3" t="inlineStr">
        <is>
          <t>Ore macchina</t>
        </is>
      </c>
      <c r="I5" s="3" t="inlineStr">
        <is>
          <t>Saturazione %</t>
        </is>
      </c>
      <c r="J5" s="3" t="inlineStr">
        <is>
          <t>Operai necessari</t>
        </is>
      </c>
      <c r="K5" s="3" t="inlineStr">
        <is>
          <t>Operai disponibili</t>
        </is>
      </c>
      <c r="L5" s="3" t="inlineStr">
        <is>
          <t>Scoperto</t>
        </is>
      </c>
      <c r="M5" s="3" t="inlineStr">
        <is>
          <t>Note</t>
        </is>
      </c>
    </row>
    <row r="6">
      <c r="A6" s="4" t="inlineStr">
        <is>
          <t>lun 04/05</t>
        </is>
      </c>
      <c r="B6" s="4" t="inlineStr">
        <is>
          <t>Linea 1</t>
        </is>
      </c>
      <c r="C6" s="4" t="inlineStr">
        <is>
          <t>T1</t>
        </is>
      </c>
      <c r="D6" s="4" t="inlineStr">
        <is>
          <t>AF-SN-0450</t>
        </is>
      </c>
      <c r="E6" s="4" t="inlineStr">
        <is>
          <t>ORD-T1125</t>
        </is>
      </c>
      <c r="F6" s="5" t="n">
        <v>8920</v>
      </c>
      <c r="G6" s="4" t="n">
        <v>1250</v>
      </c>
      <c r="H6" s="6">
        <f>F6/G6</f>
        <v/>
      </c>
      <c r="I6" s="7">
        <f>H6/8</f>
        <v/>
      </c>
      <c r="J6" s="4" t="n">
        <v>5</v>
      </c>
      <c r="K6" s="4" t="n">
        <v>5</v>
      </c>
      <c r="L6" s="4">
        <f>K6-J6</f>
        <v/>
      </c>
      <c r="M6" s="4" t="inlineStr"/>
    </row>
    <row r="7">
      <c r="A7" s="4" t="inlineStr">
        <is>
          <t>lun 04/05</t>
        </is>
      </c>
      <c r="B7" s="4" t="inlineStr">
        <is>
          <t>Linea 1</t>
        </is>
      </c>
      <c r="C7" s="4" t="inlineStr">
        <is>
          <t>T2</t>
        </is>
      </c>
      <c r="D7" s="4" t="inlineStr">
        <is>
          <t>AF-FC-0330</t>
        </is>
      </c>
      <c r="E7" s="4" t="inlineStr">
        <is>
          <t>ORD-T1177</t>
        </is>
      </c>
      <c r="F7" s="5" t="n">
        <v>3980</v>
      </c>
      <c r="G7" s="4" t="n">
        <v>1250</v>
      </c>
      <c r="H7" s="6">
        <f>F7/G7</f>
        <v/>
      </c>
      <c r="I7" s="7">
        <f>H7/8</f>
        <v/>
      </c>
      <c r="J7" s="4" t="n">
        <v>5</v>
      </c>
      <c r="K7" s="4" t="n">
        <v>5</v>
      </c>
      <c r="L7" s="4">
        <f>K7-J7</f>
        <v/>
      </c>
      <c r="M7" s="4" t="inlineStr"/>
    </row>
    <row r="8">
      <c r="A8" s="4" t="inlineStr">
        <is>
          <t>lun 04/05</t>
        </is>
      </c>
      <c r="B8" s="4" t="inlineStr">
        <is>
          <t>Linea 2</t>
        </is>
      </c>
      <c r="C8" s="4" t="inlineStr">
        <is>
          <t>T1</t>
        </is>
      </c>
      <c r="D8" s="4" t="inlineStr">
        <is>
          <t>AF-CR-0215</t>
        </is>
      </c>
      <c r="E8" s="4" t="inlineStr">
        <is>
          <t>ORD-T1264</t>
        </is>
      </c>
      <c r="F8" s="5" t="n">
        <v>6460</v>
      </c>
      <c r="G8" s="4" t="n">
        <v>780</v>
      </c>
      <c r="H8" s="6">
        <f>F8/G8</f>
        <v/>
      </c>
      <c r="I8" s="7">
        <f>H8/8</f>
        <v/>
      </c>
      <c r="J8" s="4" t="n">
        <v>7</v>
      </c>
      <c r="K8" s="4" t="n">
        <v>7</v>
      </c>
      <c r="L8" s="4">
        <f>K8-J8</f>
        <v/>
      </c>
      <c r="M8" s="4" t="inlineStr"/>
    </row>
    <row r="9">
      <c r="A9" s="4" t="inlineStr">
        <is>
          <t>lun 04/05</t>
        </is>
      </c>
      <c r="B9" s="4" t="inlineStr">
        <is>
          <t>Linea 2</t>
        </is>
      </c>
      <c r="C9" s="4" t="inlineStr">
        <is>
          <t>T2</t>
        </is>
      </c>
      <c r="D9" s="4" t="inlineStr">
        <is>
          <t>AF-CR-0215</t>
        </is>
      </c>
      <c r="E9" s="4" t="inlineStr">
        <is>
          <t>ORD-T1377</t>
        </is>
      </c>
      <c r="F9" s="5" t="n">
        <v>8340</v>
      </c>
      <c r="G9" s="4" t="n">
        <v>780</v>
      </c>
      <c r="H9" s="6">
        <f>F9/G9</f>
        <v/>
      </c>
      <c r="I9" s="7">
        <f>H9/8</f>
        <v/>
      </c>
      <c r="J9" s="4" t="n">
        <v>7</v>
      </c>
      <c r="K9" s="4" t="n">
        <v>7</v>
      </c>
      <c r="L9" s="4">
        <f>K9-J9</f>
        <v/>
      </c>
      <c r="M9" s="4" t="inlineStr"/>
    </row>
    <row r="10">
      <c r="A10" s="4" t="inlineStr">
        <is>
          <t>lun 04/05</t>
        </is>
      </c>
      <c r="B10" s="4" t="inlineStr">
        <is>
          <t>Linea 2</t>
        </is>
      </c>
      <c r="C10" s="4" t="inlineStr">
        <is>
          <t>T3</t>
        </is>
      </c>
      <c r="D10" s="4" t="inlineStr">
        <is>
          <t>AF-CR-0215</t>
        </is>
      </c>
      <c r="E10" s="4" t="inlineStr">
        <is>
          <t>ORD-T1459</t>
        </is>
      </c>
      <c r="F10" s="5" t="n">
        <v>6860</v>
      </c>
      <c r="G10" s="4" t="n">
        <v>780</v>
      </c>
      <c r="H10" s="6">
        <f>F10/G10</f>
        <v/>
      </c>
      <c r="I10" s="7">
        <f>H10/8</f>
        <v/>
      </c>
      <c r="J10" s="4" t="n">
        <v>7</v>
      </c>
      <c r="K10" s="4" t="n">
        <v>7</v>
      </c>
      <c r="L10" s="4">
        <f>K10-J10</f>
        <v/>
      </c>
      <c r="M10" s="4" t="inlineStr"/>
    </row>
    <row r="11">
      <c r="A11" s="4" t="inlineStr">
        <is>
          <t>lun 04/05</t>
        </is>
      </c>
      <c r="B11" s="4" t="inlineStr">
        <is>
          <t>Linea 3</t>
        </is>
      </c>
      <c r="C11" s="4" t="inlineStr">
        <is>
          <t>T1</t>
        </is>
      </c>
      <c r="D11" s="4" t="inlineStr">
        <is>
          <t>AF-CR-0212</t>
        </is>
      </c>
      <c r="E11" s="4" t="inlineStr">
        <is>
          <t>ORD-T1206</t>
        </is>
      </c>
      <c r="F11" s="5" t="n">
        <v>6760</v>
      </c>
      <c r="G11" s="4" t="n">
        <v>640</v>
      </c>
      <c r="H11" s="6">
        <f>F11/G11</f>
        <v/>
      </c>
      <c r="I11" s="7">
        <f>H11/8</f>
        <v/>
      </c>
      <c r="J11" s="4" t="n">
        <v>4</v>
      </c>
      <c r="K11" s="4" t="n">
        <v>4</v>
      </c>
      <c r="L11" s="4">
        <f>K11-J11</f>
        <v/>
      </c>
      <c r="M11" s="4" t="inlineStr"/>
    </row>
    <row r="12">
      <c r="A12" s="4" t="inlineStr">
        <is>
          <t>mar 05/05</t>
        </is>
      </c>
      <c r="B12" s="4" t="inlineStr">
        <is>
          <t>Linea 1</t>
        </is>
      </c>
      <c r="C12" s="4" t="inlineStr">
        <is>
          <t>T1</t>
        </is>
      </c>
      <c r="D12" s="4" t="inlineStr">
        <is>
          <t>AF-SN-0450</t>
        </is>
      </c>
      <c r="E12" s="4" t="inlineStr">
        <is>
          <t>ORD-T1356</t>
        </is>
      </c>
      <c r="F12" s="5" t="n">
        <v>7600</v>
      </c>
      <c r="G12" s="4" t="n">
        <v>1250</v>
      </c>
      <c r="H12" s="6">
        <f>F12/G12</f>
        <v/>
      </c>
      <c r="I12" s="7">
        <f>H12/8</f>
        <v/>
      </c>
      <c r="J12" s="4" t="n">
        <v>5</v>
      </c>
      <c r="K12" s="4" t="n">
        <v>5</v>
      </c>
      <c r="L12" s="4">
        <f>K12-J12</f>
        <v/>
      </c>
      <c r="M12" s="4" t="inlineStr"/>
    </row>
    <row r="13">
      <c r="A13" s="4" t="inlineStr">
        <is>
          <t>mar 05/05</t>
        </is>
      </c>
      <c r="B13" s="4" t="inlineStr">
        <is>
          <t>Linea 1</t>
        </is>
      </c>
      <c r="C13" s="4" t="inlineStr">
        <is>
          <t>T2</t>
        </is>
      </c>
      <c r="D13" s="4" t="inlineStr">
        <is>
          <t>AF-SN-0450</t>
        </is>
      </c>
      <c r="E13" s="4" t="inlineStr">
        <is>
          <t>ORD-T1255</t>
        </is>
      </c>
      <c r="F13" s="5" t="n">
        <v>6000</v>
      </c>
      <c r="G13" s="4" t="n">
        <v>1250</v>
      </c>
      <c r="H13" s="6">
        <f>F13/G13</f>
        <v/>
      </c>
      <c r="I13" s="7">
        <f>H13/8</f>
        <v/>
      </c>
      <c r="J13" s="4" t="n">
        <v>5</v>
      </c>
      <c r="K13" s="4" t="n">
        <v>5</v>
      </c>
      <c r="L13" s="4">
        <f>K13-J13</f>
        <v/>
      </c>
      <c r="M13" s="4" t="inlineStr"/>
    </row>
    <row r="14">
      <c r="A14" s="4" t="inlineStr">
        <is>
          <t>mar 05/05</t>
        </is>
      </c>
      <c r="B14" s="4" t="inlineStr">
        <is>
          <t>Linea 2</t>
        </is>
      </c>
      <c r="C14" s="4" t="inlineStr">
        <is>
          <t>T1</t>
        </is>
      </c>
      <c r="D14" s="4" t="inlineStr">
        <is>
          <t>AF-CR-0215</t>
        </is>
      </c>
      <c r="E14" s="4" t="inlineStr">
        <is>
          <t>ORD-T1477</t>
        </is>
      </c>
      <c r="F14" s="5" t="n">
        <v>8080</v>
      </c>
      <c r="G14" s="4" t="n">
        <v>780</v>
      </c>
      <c r="H14" s="6">
        <f>F14/G14</f>
        <v/>
      </c>
      <c r="I14" s="7">
        <f>H14/8</f>
        <v/>
      </c>
      <c r="J14" s="4" t="n">
        <v>7</v>
      </c>
      <c r="K14" s="4" t="n">
        <v>7</v>
      </c>
      <c r="L14" s="4">
        <f>K14-J14</f>
        <v/>
      </c>
      <c r="M14" s="4" t="inlineStr"/>
    </row>
    <row r="15">
      <c r="A15" s="4" t="inlineStr">
        <is>
          <t>mar 05/05</t>
        </is>
      </c>
      <c r="B15" s="4" t="inlineStr">
        <is>
          <t>Linea 2</t>
        </is>
      </c>
      <c r="C15" s="4" t="inlineStr">
        <is>
          <t>T2</t>
        </is>
      </c>
      <c r="D15" s="4" t="inlineStr">
        <is>
          <t>AF-CR-0215</t>
        </is>
      </c>
      <c r="E15" s="4" t="inlineStr">
        <is>
          <t>ORD-T1298</t>
        </is>
      </c>
      <c r="F15" s="5" t="n">
        <v>3280</v>
      </c>
      <c r="G15" s="4" t="n">
        <v>780</v>
      </c>
      <c r="H15" s="6">
        <f>F15/G15</f>
        <v/>
      </c>
      <c r="I15" s="7">
        <f>H15/8</f>
        <v/>
      </c>
      <c r="J15" s="4" t="n">
        <v>7</v>
      </c>
      <c r="K15" s="4" t="n">
        <v>7</v>
      </c>
      <c r="L15" s="4">
        <f>K15-J15</f>
        <v/>
      </c>
      <c r="M15" s="4" t="inlineStr"/>
    </row>
    <row r="16">
      <c r="A16" s="4" t="inlineStr">
        <is>
          <t>mar 05/05</t>
        </is>
      </c>
      <c r="B16" s="4" t="inlineStr">
        <is>
          <t>Linea 2</t>
        </is>
      </c>
      <c r="C16" s="4" t="inlineStr">
        <is>
          <t>T3</t>
        </is>
      </c>
      <c r="D16" s="4" t="inlineStr">
        <is>
          <t>AF-CR-0215</t>
        </is>
      </c>
      <c r="E16" s="4" t="inlineStr">
        <is>
          <t>ORD-T1148</t>
        </is>
      </c>
      <c r="F16" s="5" t="n">
        <v>6360</v>
      </c>
      <c r="G16" s="4" t="n">
        <v>780</v>
      </c>
      <c r="H16" s="6">
        <f>F16/G16</f>
        <v/>
      </c>
      <c r="I16" s="7">
        <f>H16/8</f>
        <v/>
      </c>
      <c r="J16" s="4" t="n">
        <v>7</v>
      </c>
      <c r="K16" s="4" t="n">
        <v>7</v>
      </c>
      <c r="L16" s="4">
        <f>K16-J16</f>
        <v/>
      </c>
      <c r="M16" s="4" t="inlineStr"/>
    </row>
    <row r="17">
      <c r="A17" s="4" t="inlineStr">
        <is>
          <t>mar 05/05</t>
        </is>
      </c>
      <c r="B17" s="4" t="inlineStr">
        <is>
          <t>Linea 3</t>
        </is>
      </c>
      <c r="C17" s="4" t="inlineStr">
        <is>
          <t>T1</t>
        </is>
      </c>
      <c r="D17" s="4" t="inlineStr">
        <is>
          <t>AF-CR-0212</t>
        </is>
      </c>
      <c r="E17" s="4" t="inlineStr">
        <is>
          <t>ORD-T1106</t>
        </is>
      </c>
      <c r="F17" s="5" t="n">
        <v>8900</v>
      </c>
      <c r="G17" s="4" t="n">
        <v>640</v>
      </c>
      <c r="H17" s="6">
        <f>F17/G17</f>
        <v/>
      </c>
      <c r="I17" s="7">
        <f>H17/8</f>
        <v/>
      </c>
      <c r="J17" s="4" t="n">
        <v>4</v>
      </c>
      <c r="K17" s="4" t="n">
        <v>4</v>
      </c>
      <c r="L17" s="4">
        <f>K17-J17</f>
        <v/>
      </c>
      <c r="M17" s="4" t="inlineStr"/>
    </row>
    <row r="18">
      <c r="A18" s="4" t="inlineStr">
        <is>
          <t>mer 06/05</t>
        </is>
      </c>
      <c r="B18" s="4" t="inlineStr">
        <is>
          <t>Linea 1</t>
        </is>
      </c>
      <c r="C18" s="4" t="inlineStr">
        <is>
          <t>T1</t>
        </is>
      </c>
      <c r="D18" s="4" t="inlineStr">
        <is>
          <t>AF-SN-0450</t>
        </is>
      </c>
      <c r="E18" s="4" t="inlineStr">
        <is>
          <t>ORD-T1295</t>
        </is>
      </c>
      <c r="F18" s="5" t="n">
        <v>4280</v>
      </c>
      <c r="G18" s="4" t="n">
        <v>1250</v>
      </c>
      <c r="H18" s="6">
        <f>F18/G18</f>
        <v/>
      </c>
      <c r="I18" s="7">
        <f>H18/8</f>
        <v/>
      </c>
      <c r="J18" s="4" t="n">
        <v>5</v>
      </c>
      <c r="K18" s="4" t="n">
        <v>5</v>
      </c>
      <c r="L18" s="4">
        <f>K18-J18</f>
        <v/>
      </c>
      <c r="M18" s="4" t="inlineStr"/>
    </row>
    <row r="19">
      <c r="A19" s="4" t="inlineStr">
        <is>
          <t>mer 06/05</t>
        </is>
      </c>
      <c r="B19" s="4" t="inlineStr">
        <is>
          <t>Linea 1</t>
        </is>
      </c>
      <c r="C19" s="4" t="inlineStr">
        <is>
          <t>T2</t>
        </is>
      </c>
      <c r="D19" s="4" t="inlineStr">
        <is>
          <t>AF-SN-0450</t>
        </is>
      </c>
      <c r="E19" s="4" t="inlineStr">
        <is>
          <t>ORD-T1413</t>
        </is>
      </c>
      <c r="F19" s="5" t="n">
        <v>8000</v>
      </c>
      <c r="G19" s="4" t="n">
        <v>1250</v>
      </c>
      <c r="H19" s="6">
        <f>F19/G19</f>
        <v/>
      </c>
      <c r="I19" s="7">
        <f>H19/8</f>
        <v/>
      </c>
      <c r="J19" s="4" t="n">
        <v>5</v>
      </c>
      <c r="K19" s="4" t="n">
        <v>5</v>
      </c>
      <c r="L19" s="4">
        <f>K19-J19</f>
        <v/>
      </c>
      <c r="M19" s="4" t="inlineStr"/>
    </row>
    <row r="20">
      <c r="A20" s="4" t="inlineStr">
        <is>
          <t>mer 06/05</t>
        </is>
      </c>
      <c r="B20" s="4" t="inlineStr">
        <is>
          <t>Linea 2</t>
        </is>
      </c>
      <c r="C20" s="4" t="inlineStr">
        <is>
          <t>T1</t>
        </is>
      </c>
      <c r="D20" s="4" t="inlineStr">
        <is>
          <t>AF-CR-0215</t>
        </is>
      </c>
      <c r="E20" s="4" t="inlineStr">
        <is>
          <t>ORD-T1461</t>
        </is>
      </c>
      <c r="F20" s="5" t="n">
        <v>4700</v>
      </c>
      <c r="G20" s="4" t="n">
        <v>780</v>
      </c>
      <c r="H20" s="6">
        <f>F20/G20</f>
        <v/>
      </c>
      <c r="I20" s="7">
        <f>H20/8</f>
        <v/>
      </c>
      <c r="J20" s="4" t="n">
        <v>7</v>
      </c>
      <c r="K20" s="4" t="n">
        <v>7</v>
      </c>
      <c r="L20" s="4">
        <f>K20-J20</f>
        <v/>
      </c>
      <c r="M20" s="4" t="inlineStr"/>
    </row>
    <row r="21">
      <c r="A21" s="4" t="inlineStr">
        <is>
          <t>mer 06/05</t>
        </is>
      </c>
      <c r="B21" s="4" t="inlineStr">
        <is>
          <t>Linea 2</t>
        </is>
      </c>
      <c r="C21" s="4" t="inlineStr">
        <is>
          <t>T2</t>
        </is>
      </c>
      <c r="D21" s="4" t="inlineStr">
        <is>
          <t>AF-CR-0215</t>
        </is>
      </c>
      <c r="E21" s="4" t="inlineStr">
        <is>
          <t>ORD-T1139</t>
        </is>
      </c>
      <c r="F21" s="5" t="n">
        <v>3700</v>
      </c>
      <c r="G21" s="4" t="n">
        <v>780</v>
      </c>
      <c r="H21" s="6">
        <f>F21/G21</f>
        <v/>
      </c>
      <c r="I21" s="7">
        <f>H21/8</f>
        <v/>
      </c>
      <c r="J21" s="4" t="n">
        <v>7</v>
      </c>
      <c r="K21" s="4" t="n">
        <v>7</v>
      </c>
      <c r="L21" s="4">
        <f>K21-J21</f>
        <v/>
      </c>
      <c r="M21" s="4" t="inlineStr"/>
    </row>
    <row r="22">
      <c r="A22" s="4" t="inlineStr">
        <is>
          <t>mer 06/05</t>
        </is>
      </c>
      <c r="B22" s="4" t="inlineStr">
        <is>
          <t>Linea 2</t>
        </is>
      </c>
      <c r="C22" s="4" t="inlineStr">
        <is>
          <t>T3</t>
        </is>
      </c>
      <c r="D22" s="4" t="inlineStr">
        <is>
          <t>AF-CR-0215</t>
        </is>
      </c>
      <c r="E22" s="4" t="inlineStr">
        <is>
          <t>ORD-T1261</t>
        </is>
      </c>
      <c r="F22" s="5" t="n">
        <v>3660</v>
      </c>
      <c r="G22" s="4" t="n">
        <v>780</v>
      </c>
      <c r="H22" s="6">
        <f>F22/G22</f>
        <v/>
      </c>
      <c r="I22" s="7">
        <f>H22/8</f>
        <v/>
      </c>
      <c r="J22" s="4" t="n">
        <v>7</v>
      </c>
      <c r="K22" s="4" t="n">
        <v>7</v>
      </c>
      <c r="L22" s="4">
        <f>K22-J22</f>
        <v/>
      </c>
      <c r="M22" s="4" t="inlineStr"/>
    </row>
    <row r="23">
      <c r="A23" s="4" t="inlineStr">
        <is>
          <t>mer 06/05</t>
        </is>
      </c>
      <c r="B23" s="4" t="inlineStr">
        <is>
          <t>Linea 3</t>
        </is>
      </c>
      <c r="C23" s="4" t="inlineStr">
        <is>
          <t>T1</t>
        </is>
      </c>
      <c r="D23" s="4" t="inlineStr">
        <is>
          <t>AF-CR-0212</t>
        </is>
      </c>
      <c r="E23" s="4" t="inlineStr">
        <is>
          <t>ORD-T1171</t>
        </is>
      </c>
      <c r="F23" s="5" t="n">
        <v>7120</v>
      </c>
      <c r="G23" s="4" t="n">
        <v>640</v>
      </c>
      <c r="H23" s="6">
        <f>F23/G23</f>
        <v/>
      </c>
      <c r="I23" s="7">
        <f>H23/8</f>
        <v/>
      </c>
      <c r="J23" s="4" t="n">
        <v>4</v>
      </c>
      <c r="K23" s="4" t="n">
        <v>4</v>
      </c>
      <c r="L23" s="4">
        <f>K23-J23</f>
        <v/>
      </c>
      <c r="M23" s="4" t="inlineStr"/>
    </row>
    <row r="24">
      <c r="A24" s="4" t="inlineStr">
        <is>
          <t>gio 07/05</t>
        </is>
      </c>
      <c r="B24" s="4" t="inlineStr">
        <is>
          <t>Linea 1</t>
        </is>
      </c>
      <c r="C24" s="4" t="inlineStr">
        <is>
          <t>T1</t>
        </is>
      </c>
      <c r="D24" s="4" t="inlineStr">
        <is>
          <t>AF-SN-0450</t>
        </is>
      </c>
      <c r="E24" s="4" t="inlineStr">
        <is>
          <t>ORD-T1162</t>
        </is>
      </c>
      <c r="F24" s="5" t="n">
        <v>4780</v>
      </c>
      <c r="G24" s="4" t="n">
        <v>1250</v>
      </c>
      <c r="H24" s="6">
        <f>F24/G24</f>
        <v/>
      </c>
      <c r="I24" s="7">
        <f>H24/8</f>
        <v/>
      </c>
      <c r="J24" s="4" t="n">
        <v>5</v>
      </c>
      <c r="K24" s="4" t="n">
        <v>5</v>
      </c>
      <c r="L24" s="4">
        <f>K24-J24</f>
        <v/>
      </c>
      <c r="M24" s="4" t="inlineStr"/>
    </row>
    <row r="25">
      <c r="A25" s="4" t="inlineStr">
        <is>
          <t>gio 07/05</t>
        </is>
      </c>
      <c r="B25" s="4" t="inlineStr">
        <is>
          <t>Linea 1</t>
        </is>
      </c>
      <c r="C25" s="4" t="inlineStr">
        <is>
          <t>T2</t>
        </is>
      </c>
      <c r="D25" s="4" t="inlineStr">
        <is>
          <t>AF-SN-0450</t>
        </is>
      </c>
      <c r="E25" s="4" t="inlineStr">
        <is>
          <t>ORD-T1381</t>
        </is>
      </c>
      <c r="F25" s="5" t="n">
        <v>6060</v>
      </c>
      <c r="G25" s="4" t="n">
        <v>1250</v>
      </c>
      <c r="H25" s="6">
        <f>F25/G25</f>
        <v/>
      </c>
      <c r="I25" s="7">
        <f>H25/8</f>
        <v/>
      </c>
      <c r="J25" s="4" t="n">
        <v>5</v>
      </c>
      <c r="K25" s="4" t="n">
        <v>5</v>
      </c>
      <c r="L25" s="4">
        <f>K25-J25</f>
        <v/>
      </c>
      <c r="M25" s="4" t="inlineStr"/>
    </row>
    <row r="26">
      <c r="A26" s="4" t="inlineStr">
        <is>
          <t>gio 07/05</t>
        </is>
      </c>
      <c r="B26" s="4" t="inlineStr">
        <is>
          <t>Linea 2</t>
        </is>
      </c>
      <c r="C26" s="4" t="inlineStr">
        <is>
          <t>T1</t>
        </is>
      </c>
      <c r="D26" s="4" t="inlineStr">
        <is>
          <t>AF-CR-0215</t>
        </is>
      </c>
      <c r="E26" s="4" t="inlineStr">
        <is>
          <t>ORD-T1122</t>
        </is>
      </c>
      <c r="F26" s="5" t="n">
        <v>3920</v>
      </c>
      <c r="G26" s="4" t="n">
        <v>780</v>
      </c>
      <c r="H26" s="6">
        <f>F26/G26</f>
        <v/>
      </c>
      <c r="I26" s="7">
        <f>H26/8</f>
        <v/>
      </c>
      <c r="J26" s="4" t="n">
        <v>7</v>
      </c>
      <c r="K26" s="4" t="n">
        <v>7</v>
      </c>
      <c r="L26" s="4">
        <f>K26-J26</f>
        <v/>
      </c>
      <c r="M26" s="4" t="inlineStr"/>
    </row>
    <row r="27">
      <c r="A27" s="4" t="inlineStr">
        <is>
          <t>gio 07/05</t>
        </is>
      </c>
      <c r="B27" s="4" t="inlineStr">
        <is>
          <t>Linea 2</t>
        </is>
      </c>
      <c r="C27" s="4" t="inlineStr">
        <is>
          <t>T2</t>
        </is>
      </c>
      <c r="D27" s="4" t="inlineStr">
        <is>
          <t>AF-CR-0215</t>
        </is>
      </c>
      <c r="E27" s="4" t="inlineStr">
        <is>
          <t>ORD-T1493</t>
        </is>
      </c>
      <c r="F27" s="5" t="n">
        <v>7300</v>
      </c>
      <c r="G27" s="4" t="n">
        <v>780</v>
      </c>
      <c r="H27" s="6">
        <f>F27/G27</f>
        <v/>
      </c>
      <c r="I27" s="7">
        <f>H27/8</f>
        <v/>
      </c>
      <c r="J27" s="4" t="n">
        <v>7</v>
      </c>
      <c r="K27" s="4" t="n">
        <v>7</v>
      </c>
      <c r="L27" s="4">
        <f>K27-J27</f>
        <v/>
      </c>
      <c r="M27" s="4" t="inlineStr"/>
    </row>
    <row r="28">
      <c r="A28" s="4" t="inlineStr">
        <is>
          <t>gio 07/05</t>
        </is>
      </c>
      <c r="B28" s="4" t="inlineStr">
        <is>
          <t>Linea 2</t>
        </is>
      </c>
      <c r="C28" s="4" t="inlineStr">
        <is>
          <t>T3</t>
        </is>
      </c>
      <c r="D28" s="4" t="inlineStr">
        <is>
          <t>AF-CR-0215</t>
        </is>
      </c>
      <c r="E28" s="4" t="inlineStr">
        <is>
          <t>ORD-T1321</t>
        </is>
      </c>
      <c r="F28" s="5" t="n">
        <v>5560</v>
      </c>
      <c r="G28" s="4" t="n">
        <v>780</v>
      </c>
      <c r="H28" s="6">
        <f>F28/G28</f>
        <v/>
      </c>
      <c r="I28" s="7">
        <f>H28/8</f>
        <v/>
      </c>
      <c r="J28" s="4" t="n">
        <v>7</v>
      </c>
      <c r="K28" s="4" t="n">
        <v>7</v>
      </c>
      <c r="L28" s="4">
        <f>K28-J28</f>
        <v/>
      </c>
      <c r="M28" s="4" t="inlineStr"/>
    </row>
    <row r="29">
      <c r="A29" s="4" t="inlineStr">
        <is>
          <t>gio 07/05</t>
        </is>
      </c>
      <c r="B29" s="4" t="inlineStr">
        <is>
          <t>Linea 3</t>
        </is>
      </c>
      <c r="C29" s="4" t="inlineStr">
        <is>
          <t>T1</t>
        </is>
      </c>
      <c r="D29" s="4" t="inlineStr">
        <is>
          <t>AF-CR-0212</t>
        </is>
      </c>
      <c r="E29" s="4" t="inlineStr">
        <is>
          <t>ORD-T1446</t>
        </is>
      </c>
      <c r="F29" s="5" t="n">
        <v>8400</v>
      </c>
      <c r="G29" s="4" t="n">
        <v>640</v>
      </c>
      <c r="H29" s="6">
        <f>F29/G29</f>
        <v/>
      </c>
      <c r="I29" s="7">
        <f>H29/8</f>
        <v/>
      </c>
      <c r="J29" s="4" t="n">
        <v>4</v>
      </c>
      <c r="K29" s="4" t="n">
        <v>4</v>
      </c>
      <c r="L29" s="4">
        <f>K29-J29</f>
        <v/>
      </c>
      <c r="M29" s="4" t="inlineStr"/>
    </row>
    <row r="30">
      <c r="A30" s="4" t="inlineStr">
        <is>
          <t>ven 08/05</t>
        </is>
      </c>
      <c r="B30" s="4" t="inlineStr">
        <is>
          <t>Linea 1</t>
        </is>
      </c>
      <c r="C30" s="4" t="inlineStr">
        <is>
          <t>T1</t>
        </is>
      </c>
      <c r="D30" s="4" t="inlineStr">
        <is>
          <t>AF-SN-0450</t>
        </is>
      </c>
      <c r="E30" s="4" t="inlineStr">
        <is>
          <t>ORD-T1499</t>
        </is>
      </c>
      <c r="F30" s="5" t="n">
        <v>4660</v>
      </c>
      <c r="G30" s="4" t="n">
        <v>1250</v>
      </c>
      <c r="H30" s="6">
        <f>F30/G30</f>
        <v/>
      </c>
      <c r="I30" s="7">
        <f>H30/8</f>
        <v/>
      </c>
      <c r="J30" s="4" t="n">
        <v>5</v>
      </c>
      <c r="K30" s="4" t="n">
        <v>5</v>
      </c>
      <c r="L30" s="4">
        <f>K30-J30</f>
        <v/>
      </c>
      <c r="M30" s="4" t="inlineStr"/>
    </row>
    <row r="31">
      <c r="A31" s="4" t="inlineStr">
        <is>
          <t>ven 08/05</t>
        </is>
      </c>
      <c r="B31" s="4" t="inlineStr">
        <is>
          <t>Linea 1</t>
        </is>
      </c>
      <c r="C31" s="4" t="inlineStr">
        <is>
          <t>T2</t>
        </is>
      </c>
      <c r="D31" s="4" t="inlineStr">
        <is>
          <t>AF-SN-0450</t>
        </is>
      </c>
      <c r="E31" s="4" t="inlineStr">
        <is>
          <t>ORD-T1144</t>
        </is>
      </c>
      <c r="F31" s="5" t="n">
        <v>8200</v>
      </c>
      <c r="G31" s="4" t="n">
        <v>1250</v>
      </c>
      <c r="H31" s="6">
        <f>F31/G31</f>
        <v/>
      </c>
      <c r="I31" s="7">
        <f>H31/8</f>
        <v/>
      </c>
      <c r="J31" s="4" t="n">
        <v>5</v>
      </c>
      <c r="K31" s="4" t="n">
        <v>5</v>
      </c>
      <c r="L31" s="4">
        <f>K31-J31</f>
        <v/>
      </c>
      <c r="M31" s="4" t="inlineStr"/>
    </row>
    <row r="32">
      <c r="A32" s="4" t="inlineStr">
        <is>
          <t>ven 08/05</t>
        </is>
      </c>
      <c r="B32" s="4" t="inlineStr">
        <is>
          <t>Linea 2</t>
        </is>
      </c>
      <c r="C32" s="4" t="inlineStr">
        <is>
          <t>T1</t>
        </is>
      </c>
      <c r="D32" s="4" t="inlineStr">
        <is>
          <t>AF-CR-0215</t>
        </is>
      </c>
      <c r="E32" s="4" t="inlineStr">
        <is>
          <t>ORD-T1176</t>
        </is>
      </c>
      <c r="F32" s="5" t="n">
        <v>4500</v>
      </c>
      <c r="G32" s="4" t="n">
        <v>780</v>
      </c>
      <c r="H32" s="6">
        <f>F32/G32</f>
        <v/>
      </c>
      <c r="I32" s="7">
        <f>H32/8</f>
        <v/>
      </c>
      <c r="J32" s="4" t="n">
        <v>7</v>
      </c>
      <c r="K32" s="4" t="n">
        <v>7</v>
      </c>
      <c r="L32" s="4">
        <f>K32-J32</f>
        <v/>
      </c>
      <c r="M32" s="4" t="inlineStr"/>
    </row>
    <row r="33">
      <c r="A33" s="4" t="inlineStr">
        <is>
          <t>ven 08/05</t>
        </is>
      </c>
      <c r="B33" s="4" t="inlineStr">
        <is>
          <t>Linea 2</t>
        </is>
      </c>
      <c r="C33" s="4" t="inlineStr">
        <is>
          <t>T2</t>
        </is>
      </c>
      <c r="D33" s="4" t="inlineStr">
        <is>
          <t>AF-CR-0215</t>
        </is>
      </c>
      <c r="E33" s="4" t="inlineStr">
        <is>
          <t>ORD-T1299</t>
        </is>
      </c>
      <c r="F33" s="5" t="n">
        <v>6180</v>
      </c>
      <c r="G33" s="4" t="n">
        <v>780</v>
      </c>
      <c r="H33" s="6">
        <f>F33/G33</f>
        <v/>
      </c>
      <c r="I33" s="7">
        <f>H33/8</f>
        <v/>
      </c>
      <c r="J33" s="4" t="n">
        <v>7</v>
      </c>
      <c r="K33" s="4" t="n">
        <v>7</v>
      </c>
      <c r="L33" s="4">
        <f>K33-J33</f>
        <v/>
      </c>
      <c r="M33" s="4" t="inlineStr"/>
    </row>
    <row r="34">
      <c r="A34" s="4" t="inlineStr">
        <is>
          <t>ven 08/05</t>
        </is>
      </c>
      <c r="B34" s="4" t="inlineStr">
        <is>
          <t>Linea 2</t>
        </is>
      </c>
      <c r="C34" s="4" t="inlineStr">
        <is>
          <t>T3</t>
        </is>
      </c>
      <c r="D34" s="4" t="inlineStr">
        <is>
          <t>AF-CR-0215</t>
        </is>
      </c>
      <c r="E34" s="4" t="inlineStr">
        <is>
          <t>ORD-T1348</t>
        </is>
      </c>
      <c r="F34" s="5" t="n">
        <v>4480</v>
      </c>
      <c r="G34" s="4" t="n">
        <v>780</v>
      </c>
      <c r="H34" s="6">
        <f>F34/G34</f>
        <v/>
      </c>
      <c r="I34" s="7">
        <f>H34/8</f>
        <v/>
      </c>
      <c r="J34" s="4" t="n">
        <v>7</v>
      </c>
      <c r="K34" s="4" t="n">
        <v>7</v>
      </c>
      <c r="L34" s="4">
        <f>K34-J34</f>
        <v/>
      </c>
      <c r="M34" s="4" t="inlineStr"/>
    </row>
    <row r="35">
      <c r="A35" s="4" t="inlineStr">
        <is>
          <t>ven 08/05</t>
        </is>
      </c>
      <c r="B35" s="4" t="inlineStr">
        <is>
          <t>Linea 3</t>
        </is>
      </c>
      <c r="C35" s="4" t="inlineStr">
        <is>
          <t>T1</t>
        </is>
      </c>
      <c r="D35" s="4" t="inlineStr">
        <is>
          <t>AF-CR-0212</t>
        </is>
      </c>
      <c r="E35" s="4" t="inlineStr">
        <is>
          <t>ORD-T1410</t>
        </is>
      </c>
      <c r="F35" s="5" t="n">
        <v>4320</v>
      </c>
      <c r="G35" s="4" t="n">
        <v>640</v>
      </c>
      <c r="H35" s="6">
        <f>F35/G35</f>
        <v/>
      </c>
      <c r="I35" s="7">
        <f>H35/8</f>
        <v/>
      </c>
      <c r="J35" s="4" t="n">
        <v>4</v>
      </c>
      <c r="K35" s="4" t="n">
        <v>4</v>
      </c>
      <c r="L35" s="4">
        <f>K35-J35</f>
        <v/>
      </c>
      <c r="M35" s="4" t="inlineStr"/>
    </row>
    <row r="36">
      <c r="A36" s="4" t="inlineStr">
        <is>
          <t>sab 09/05</t>
        </is>
      </c>
      <c r="B36" s="4" t="inlineStr">
        <is>
          <t>Linea 1</t>
        </is>
      </c>
      <c r="C36" s="4" t="inlineStr">
        <is>
          <t>T1</t>
        </is>
      </c>
      <c r="D36" s="4" t="inlineStr">
        <is>
          <t>AF-SN-0450</t>
        </is>
      </c>
      <c r="E36" s="4" t="inlineStr">
        <is>
          <t>ORD-T1375</t>
        </is>
      </c>
      <c r="F36" s="5" t="n">
        <v>5020</v>
      </c>
      <c r="G36" s="4" t="n">
        <v>1250</v>
      </c>
      <c r="H36" s="6">
        <f>F36/G36</f>
        <v/>
      </c>
      <c r="I36" s="7">
        <f>H36/8</f>
        <v/>
      </c>
      <c r="J36" s="4" t="n">
        <v>5</v>
      </c>
      <c r="K36" s="4" t="n">
        <v>5</v>
      </c>
      <c r="L36" s="4">
        <f>K36-J36</f>
        <v/>
      </c>
      <c r="M36" s="4" t="inlineStr"/>
    </row>
    <row r="37">
      <c r="A37" s="4" t="inlineStr">
        <is>
          <t>sab 09/05</t>
        </is>
      </c>
      <c r="B37" s="4" t="inlineStr">
        <is>
          <t>Linea 1</t>
        </is>
      </c>
      <c r="C37" s="4" t="inlineStr">
        <is>
          <t>T2</t>
        </is>
      </c>
      <c r="D37" s="4" t="inlineStr">
        <is>
          <t>AF-SN-0450</t>
        </is>
      </c>
      <c r="E37" s="4" t="inlineStr">
        <is>
          <t>ORD-T1110</t>
        </is>
      </c>
      <c r="F37" s="5" t="n">
        <v>5780</v>
      </c>
      <c r="G37" s="4" t="n">
        <v>1250</v>
      </c>
      <c r="H37" s="6">
        <f>F37/G37</f>
        <v/>
      </c>
      <c r="I37" s="7">
        <f>H37/8</f>
        <v/>
      </c>
      <c r="J37" s="4" t="n">
        <v>5</v>
      </c>
      <c r="K37" s="4" t="n">
        <v>5</v>
      </c>
      <c r="L37" s="4">
        <f>K37-J37</f>
        <v/>
      </c>
      <c r="M37" s="4" t="inlineStr"/>
    </row>
    <row r="38">
      <c r="A38" s="4" t="inlineStr">
        <is>
          <t>sab 09/05</t>
        </is>
      </c>
      <c r="B38" s="4" t="inlineStr">
        <is>
          <t>Linea 2</t>
        </is>
      </c>
      <c r="C38" s="4" t="inlineStr">
        <is>
          <t>T1</t>
        </is>
      </c>
      <c r="D38" s="4" t="inlineStr">
        <is>
          <t>AF-CR-0215</t>
        </is>
      </c>
      <c r="E38" s="4" t="inlineStr">
        <is>
          <t>ORD-T1229</t>
        </is>
      </c>
      <c r="F38" s="5" t="n">
        <v>7860</v>
      </c>
      <c r="G38" s="4" t="n">
        <v>780</v>
      </c>
      <c r="H38" s="6">
        <f>F38/G38</f>
        <v/>
      </c>
      <c r="I38" s="7">
        <f>H38/8</f>
        <v/>
      </c>
      <c r="J38" s="4" t="n">
        <v>7</v>
      </c>
      <c r="K38" s="4" t="n">
        <v>7</v>
      </c>
      <c r="L38" s="4">
        <f>K38-J38</f>
        <v/>
      </c>
      <c r="M38" s="4" t="inlineStr"/>
    </row>
    <row r="39">
      <c r="A39" s="4" t="inlineStr">
        <is>
          <t>sab 09/05</t>
        </is>
      </c>
      <c r="B39" s="4" t="inlineStr">
        <is>
          <t>Linea 2</t>
        </is>
      </c>
      <c r="C39" s="4" t="inlineStr">
        <is>
          <t>T2</t>
        </is>
      </c>
      <c r="D39" s="4" t="inlineStr">
        <is>
          <t>AF-CR-0215</t>
        </is>
      </c>
      <c r="E39" s="4" t="inlineStr">
        <is>
          <t>ORD-T1301</t>
        </is>
      </c>
      <c r="F39" s="5" t="n">
        <v>4340</v>
      </c>
      <c r="G39" s="4" t="n">
        <v>780</v>
      </c>
      <c r="H39" s="6">
        <f>F39/G39</f>
        <v/>
      </c>
      <c r="I39" s="7">
        <f>H39/8</f>
        <v/>
      </c>
      <c r="J39" s="4" t="n">
        <v>7</v>
      </c>
      <c r="K39" s="4" t="n">
        <v>7</v>
      </c>
      <c r="L39" s="4">
        <f>K39-J39</f>
        <v/>
      </c>
      <c r="M39" s="4" t="inlineStr"/>
    </row>
    <row r="40">
      <c r="A40" s="4" t="inlineStr">
        <is>
          <t>sab 09/05</t>
        </is>
      </c>
      <c r="B40" s="4" t="inlineStr">
        <is>
          <t>Linea 2</t>
        </is>
      </c>
      <c r="C40" s="4" t="inlineStr">
        <is>
          <t>T3</t>
        </is>
      </c>
      <c r="D40" s="4" t="inlineStr">
        <is>
          <t>AF-CR-0215</t>
        </is>
      </c>
      <c r="E40" s="4" t="inlineStr">
        <is>
          <t>ORD-T1352</t>
        </is>
      </c>
      <c r="F40" s="5" t="n">
        <v>5280</v>
      </c>
      <c r="G40" s="4" t="n">
        <v>780</v>
      </c>
      <c r="H40" s="6">
        <f>F40/G40</f>
        <v/>
      </c>
      <c r="I40" s="7">
        <f>H40/8</f>
        <v/>
      </c>
      <c r="J40" s="4" t="n">
        <v>7</v>
      </c>
      <c r="K40" s="4" t="n">
        <v>7</v>
      </c>
      <c r="L40" s="4">
        <f>K40-J40</f>
        <v/>
      </c>
      <c r="M40" s="4" t="inlineStr"/>
    </row>
    <row r="41">
      <c r="A41" s="4" t="inlineStr">
        <is>
          <t>sab 09/05</t>
        </is>
      </c>
      <c r="B41" s="4" t="inlineStr">
        <is>
          <t>Linea 3</t>
        </is>
      </c>
      <c r="C41" s="4" t="inlineStr">
        <is>
          <t>T1</t>
        </is>
      </c>
      <c r="D41" s="4" t="inlineStr">
        <is>
          <t>AF-CR-0212</t>
        </is>
      </c>
      <c r="E41" s="4" t="inlineStr">
        <is>
          <t>ORD-T1165</t>
        </is>
      </c>
      <c r="F41" s="5" t="n">
        <v>7340</v>
      </c>
      <c r="G41" s="4" t="n">
        <v>640</v>
      </c>
      <c r="H41" s="6">
        <f>F41/G41</f>
        <v/>
      </c>
      <c r="I41" s="7">
        <f>H41/8</f>
        <v/>
      </c>
      <c r="J41" s="4" t="n">
        <v>4</v>
      </c>
      <c r="K41" s="4" t="n">
        <v>4</v>
      </c>
      <c r="L41" s="4">
        <f>K41-J41</f>
        <v/>
      </c>
      <c r="M41" s="4" t="inlineStr"/>
    </row>
    <row r="42">
      <c r="A42" s="8" t="inlineStr">
        <is>
          <t>dom 10/05</t>
        </is>
      </c>
      <c r="B42" s="8" t="inlineStr">
        <is>
          <t>Linea 2</t>
        </is>
      </c>
      <c r="C42" s="8" t="inlineStr">
        <is>
          <t>T1</t>
        </is>
      </c>
      <c r="D42" s="8" t="inlineStr">
        <is>
          <t>AF-CR-0215</t>
        </is>
      </c>
      <c r="E42" s="8" t="inlineStr">
        <is>
          <t>ORD-T1462</t>
        </is>
      </c>
      <c r="F42" s="9" t="n">
        <v>7760</v>
      </c>
      <c r="G42" s="8" t="n">
        <v>780</v>
      </c>
      <c r="H42" s="10">
        <f>F42/G42</f>
        <v/>
      </c>
      <c r="I42" s="11">
        <f>H42/8</f>
        <v/>
      </c>
      <c r="J42" s="8" t="n">
        <v>7</v>
      </c>
      <c r="K42" s="8" t="n">
        <v>6</v>
      </c>
      <c r="L42" s="8">
        <f>K42-J42</f>
        <v/>
      </c>
      <c r="M42" s="8" t="inlineStr">
        <is>
          <t>3a domenica consecutiva - RSU ha protestato</t>
        </is>
      </c>
    </row>
    <row r="43">
      <c r="A43" s="8" t="inlineStr">
        <is>
          <t>dom 10/05</t>
        </is>
      </c>
      <c r="B43" s="8" t="inlineStr">
        <is>
          <t>Linea 2</t>
        </is>
      </c>
      <c r="C43" s="8" t="inlineStr">
        <is>
          <t>T2</t>
        </is>
      </c>
      <c r="D43" s="8" t="inlineStr">
        <is>
          <t>AF-CR-0215</t>
        </is>
      </c>
      <c r="E43" s="8" t="inlineStr">
        <is>
          <t>ORD-T1151</t>
        </is>
      </c>
      <c r="F43" s="9" t="n">
        <v>4400</v>
      </c>
      <c r="G43" s="8" t="n">
        <v>780</v>
      </c>
      <c r="H43" s="10">
        <f>F43/G43</f>
        <v/>
      </c>
      <c r="I43" s="11">
        <f>H43/8</f>
        <v/>
      </c>
      <c r="J43" s="8" t="n">
        <v>7</v>
      </c>
      <c r="K43" s="8" t="n">
        <v>4</v>
      </c>
      <c r="L43" s="8">
        <f>K43-J43</f>
        <v/>
      </c>
      <c r="M43" s="8" t="inlineStr">
        <is>
          <t>3a domenica consecutiva - RSU ha protestato</t>
        </is>
      </c>
    </row>
    <row r="45">
      <c r="A45" s="12" t="inlineStr">
        <is>
          <t>totale pz settimana</t>
        </is>
      </c>
      <c r="F45" s="13">
        <f>SUM(F6:F43)</f>
        <v/>
      </c>
    </row>
    <row r="46">
      <c r="A46" s="12" t="inlineStr">
        <is>
          <t>ore macchina totali</t>
        </is>
      </c>
      <c r="H46" s="14">
        <f>SUM(H6:H43)</f>
        <v/>
      </c>
    </row>
    <row r="48">
      <c r="A48" s="15" t="inlineStr">
        <is>
          <t>(D.Z. a penna) il 10/05 turno 2 linea 1 SALTATO dalle 15 - confezionatrice ferma. Recupero lunedì.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7" customWidth="1" min="3" max="3"/>
    <col width="12" customWidth="1" min="4" max="4"/>
    <col width="16" customWidth="1" min="5" max="5"/>
    <col width="13" customWidth="1" min="6" max="6"/>
    <col width="15" customWidth="1" min="7" max="7"/>
    <col width="12" customWidth="1" min="8" max="8"/>
    <col width="13" customWidth="1" min="9" max="9"/>
    <col width="15" customWidth="1" min="10" max="10"/>
    <col width="16" customWidth="1" min="11" max="11"/>
    <col width="10" customWidth="1" min="12" max="12"/>
    <col width="40" customWidth="1" min="13" max="13"/>
  </cols>
  <sheetData>
    <row r="1">
      <c r="A1" s="1" t="inlineStr">
        <is>
          <t>Piano di produzione Sett 20 - promo Sottocosto Primavera Tosano</t>
        </is>
      </c>
    </row>
    <row r="2">
      <c r="A2" s="2" t="inlineStr">
        <is>
          <t>D. Zanella - stampato il venerdì precedente, modificato a mano durante la settimana</t>
        </is>
      </c>
    </row>
    <row r="5" ht="28" customHeight="1">
      <c r="A5" s="3" t="inlineStr">
        <is>
          <t>Giorno</t>
        </is>
      </c>
      <c r="B5" s="3" t="inlineStr">
        <is>
          <t>Linea</t>
        </is>
      </c>
      <c r="C5" s="3" t="inlineStr">
        <is>
          <t>Turno</t>
        </is>
      </c>
      <c r="D5" s="3" t="inlineStr">
        <is>
          <t>Cod. art.</t>
        </is>
      </c>
      <c r="E5" s="3" t="inlineStr">
        <is>
          <t>Ordine cliente</t>
        </is>
      </c>
      <c r="F5" s="3" t="inlineStr">
        <is>
          <t>Pz da produrre</t>
        </is>
      </c>
      <c r="G5" s="3" t="inlineStr">
        <is>
          <t>Tempo ciclo (pz/h)</t>
        </is>
      </c>
      <c r="H5" s="3" t="inlineStr">
        <is>
          <t>Ore macchina</t>
        </is>
      </c>
      <c r="I5" s="3" t="inlineStr">
        <is>
          <t>Saturazione %</t>
        </is>
      </c>
      <c r="J5" s="3" t="inlineStr">
        <is>
          <t>Operai necessari</t>
        </is>
      </c>
      <c r="K5" s="3" t="inlineStr">
        <is>
          <t>Operai disponibili</t>
        </is>
      </c>
      <c r="L5" s="3" t="inlineStr">
        <is>
          <t>Scoperto</t>
        </is>
      </c>
      <c r="M5" s="3" t="inlineStr">
        <is>
          <t>Note</t>
        </is>
      </c>
    </row>
    <row r="6">
      <c r="A6" s="4" t="inlineStr">
        <is>
          <t>lun 11/05</t>
        </is>
      </c>
      <c r="B6" s="4" t="inlineStr">
        <is>
          <t>Linea 1</t>
        </is>
      </c>
      <c r="C6" s="4" t="inlineStr">
        <is>
          <t>T1</t>
        </is>
      </c>
      <c r="D6" s="4" t="inlineStr">
        <is>
          <t>AF-SN-0450</t>
        </is>
      </c>
      <c r="E6" s="4" t="inlineStr">
        <is>
          <t>ORD-T1477</t>
        </is>
      </c>
      <c r="F6" s="5" t="n">
        <v>6620</v>
      </c>
      <c r="G6" s="4" t="n">
        <v>1250</v>
      </c>
      <c r="H6" s="6">
        <f>F6/G6</f>
        <v/>
      </c>
      <c r="I6" s="7">
        <f>H6/8</f>
        <v/>
      </c>
      <c r="J6" s="4" t="n">
        <v>5</v>
      </c>
      <c r="K6" s="4" t="n">
        <v>5</v>
      </c>
      <c r="L6" s="4">
        <f>K6-J6</f>
        <v/>
      </c>
      <c r="M6" s="4" t="inlineStr">
        <is>
          <t>recupero produzione persa per fermo PKM-450 del 10/05</t>
        </is>
      </c>
    </row>
    <row r="7">
      <c r="A7" s="4" t="inlineStr">
        <is>
          <t>lun 11/05</t>
        </is>
      </c>
      <c r="B7" s="4" t="inlineStr">
        <is>
          <t>Linea 1</t>
        </is>
      </c>
      <c r="C7" s="4" t="inlineStr">
        <is>
          <t>T2</t>
        </is>
      </c>
      <c r="D7" s="4" t="inlineStr">
        <is>
          <t>AF-SN-0450</t>
        </is>
      </c>
      <c r="E7" s="4" t="inlineStr">
        <is>
          <t>ORD-T1161</t>
        </is>
      </c>
      <c r="F7" s="5" t="n">
        <v>9040</v>
      </c>
      <c r="G7" s="4" t="n">
        <v>1250</v>
      </c>
      <c r="H7" s="6">
        <f>F7/G7</f>
        <v/>
      </c>
      <c r="I7" s="7">
        <f>H7/8</f>
        <v/>
      </c>
      <c r="J7" s="4" t="n">
        <v>5</v>
      </c>
      <c r="K7" s="4" t="n">
        <v>5</v>
      </c>
      <c r="L7" s="4">
        <f>K7-J7</f>
        <v/>
      </c>
      <c r="M7" s="4" t="inlineStr">
        <is>
          <t>recupero produzione persa per fermo PKM-450 del 10/05</t>
        </is>
      </c>
    </row>
    <row r="8">
      <c r="A8" s="4" t="inlineStr">
        <is>
          <t>lun 11/05</t>
        </is>
      </c>
      <c r="B8" s="4" t="inlineStr">
        <is>
          <t>Linea 2</t>
        </is>
      </c>
      <c r="C8" s="4" t="inlineStr">
        <is>
          <t>T1</t>
        </is>
      </c>
      <c r="D8" s="4" t="inlineStr">
        <is>
          <t>AF-CR-0215</t>
        </is>
      </c>
      <c r="E8" s="4" t="inlineStr">
        <is>
          <t>ORD-T1273</t>
        </is>
      </c>
      <c r="F8" s="5" t="n">
        <v>6360</v>
      </c>
      <c r="G8" s="4" t="n">
        <v>780</v>
      </c>
      <c r="H8" s="6">
        <f>F8/G8</f>
        <v/>
      </c>
      <c r="I8" s="7">
        <f>H8/8</f>
        <v/>
      </c>
      <c r="J8" s="4" t="n">
        <v>7</v>
      </c>
      <c r="K8" s="4" t="n">
        <v>7</v>
      </c>
      <c r="L8" s="4">
        <f>K8-J8</f>
        <v/>
      </c>
      <c r="M8" s="4" t="inlineStr">
        <is>
          <t>recupero produzione persa per fermo PKM-450 del 10/05</t>
        </is>
      </c>
    </row>
    <row r="9">
      <c r="A9" s="4" t="inlineStr">
        <is>
          <t>lun 11/05</t>
        </is>
      </c>
      <c r="B9" s="4" t="inlineStr">
        <is>
          <t>Linea 2</t>
        </is>
      </c>
      <c r="C9" s="4" t="inlineStr">
        <is>
          <t>T2</t>
        </is>
      </c>
      <c r="D9" s="4" t="inlineStr">
        <is>
          <t>AF-CR-0215</t>
        </is>
      </c>
      <c r="E9" s="4" t="inlineStr">
        <is>
          <t>ORD-T1165</t>
        </is>
      </c>
      <c r="F9" s="5" t="n">
        <v>6660</v>
      </c>
      <c r="G9" s="4" t="n">
        <v>780</v>
      </c>
      <c r="H9" s="6">
        <f>F9/G9</f>
        <v/>
      </c>
      <c r="I9" s="7">
        <f>H9/8</f>
        <v/>
      </c>
      <c r="J9" s="4" t="n">
        <v>7</v>
      </c>
      <c r="K9" s="4" t="n">
        <v>7</v>
      </c>
      <c r="L9" s="4">
        <f>K9-J9</f>
        <v/>
      </c>
      <c r="M9" s="4" t="inlineStr">
        <is>
          <t>recupero produzione persa per fermo PKM-450 del 10/05</t>
        </is>
      </c>
    </row>
    <row r="10">
      <c r="A10" s="4" t="inlineStr">
        <is>
          <t>lun 11/05</t>
        </is>
      </c>
      <c r="B10" s="4" t="inlineStr">
        <is>
          <t>Linea 2</t>
        </is>
      </c>
      <c r="C10" s="4" t="inlineStr">
        <is>
          <t>T3</t>
        </is>
      </c>
      <c r="D10" s="4" t="inlineStr">
        <is>
          <t>AF-CR-0215</t>
        </is>
      </c>
      <c r="E10" s="4" t="inlineStr">
        <is>
          <t>ORD-T1409</t>
        </is>
      </c>
      <c r="F10" s="5" t="n">
        <v>6020</v>
      </c>
      <c r="G10" s="4" t="n">
        <v>780</v>
      </c>
      <c r="H10" s="6">
        <f>F10/G10</f>
        <v/>
      </c>
      <c r="I10" s="7">
        <f>H10/8</f>
        <v/>
      </c>
      <c r="J10" s="4" t="n">
        <v>7</v>
      </c>
      <c r="K10" s="4" t="n">
        <v>7</v>
      </c>
      <c r="L10" s="4">
        <f>K10-J10</f>
        <v/>
      </c>
      <c r="M10" s="4" t="inlineStr">
        <is>
          <t>recupero produzione persa per fermo PKM-450 del 10/05</t>
        </is>
      </c>
    </row>
    <row r="11">
      <c r="A11" s="4" t="inlineStr">
        <is>
          <t>lun 11/05</t>
        </is>
      </c>
      <c r="B11" s="4" t="inlineStr">
        <is>
          <t>Linea 3</t>
        </is>
      </c>
      <c r="C11" s="4" t="inlineStr">
        <is>
          <t>T1</t>
        </is>
      </c>
      <c r="D11" s="4" t="inlineStr">
        <is>
          <t>AF-CR-0212</t>
        </is>
      </c>
      <c r="E11" s="4" t="inlineStr">
        <is>
          <t>ORD-T1169</t>
        </is>
      </c>
      <c r="F11" s="5" t="n">
        <v>5180</v>
      </c>
      <c r="G11" s="4" t="n">
        <v>640</v>
      </c>
      <c r="H11" s="6">
        <f>F11/G11</f>
        <v/>
      </c>
      <c r="I11" s="7">
        <f>H11/8</f>
        <v/>
      </c>
      <c r="J11" s="4" t="n">
        <v>4</v>
      </c>
      <c r="K11" s="4" t="n">
        <v>4</v>
      </c>
      <c r="L11" s="4">
        <f>K11-J11</f>
        <v/>
      </c>
      <c r="M11" s="4" t="inlineStr">
        <is>
          <t>recupero produzione persa per fermo PKM-450 del 10/05</t>
        </is>
      </c>
    </row>
    <row r="12">
      <c r="A12" s="4" t="inlineStr">
        <is>
          <t>mar 12/05</t>
        </is>
      </c>
      <c r="B12" s="4" t="inlineStr">
        <is>
          <t>Linea 1</t>
        </is>
      </c>
      <c r="C12" s="4" t="inlineStr">
        <is>
          <t>T1</t>
        </is>
      </c>
      <c r="D12" s="4" t="inlineStr">
        <is>
          <t>AF-SN-0450</t>
        </is>
      </c>
      <c r="E12" s="4" t="inlineStr">
        <is>
          <t>ORD-T1146</t>
        </is>
      </c>
      <c r="F12" s="5" t="n">
        <v>8100</v>
      </c>
      <c r="G12" s="4" t="n">
        <v>1250</v>
      </c>
      <c r="H12" s="6">
        <f>F12/G12</f>
        <v/>
      </c>
      <c r="I12" s="7">
        <f>H12/8</f>
        <v/>
      </c>
      <c r="J12" s="4" t="n">
        <v>5</v>
      </c>
      <c r="K12" s="4" t="n">
        <v>5</v>
      </c>
      <c r="L12" s="4">
        <f>K12-J12</f>
        <v/>
      </c>
      <c r="M12" s="4" t="inlineStr"/>
    </row>
    <row r="13">
      <c r="A13" s="4" t="inlineStr">
        <is>
          <t>mar 12/05</t>
        </is>
      </c>
      <c r="B13" s="4" t="inlineStr">
        <is>
          <t>Linea 1</t>
        </is>
      </c>
      <c r="C13" s="4" t="inlineStr">
        <is>
          <t>T2</t>
        </is>
      </c>
      <c r="D13" s="4" t="inlineStr">
        <is>
          <t>AF-SN-0450</t>
        </is>
      </c>
      <c r="E13" s="4" t="inlineStr">
        <is>
          <t>ORD-T1122</t>
        </is>
      </c>
      <c r="F13" s="5" t="n">
        <v>5540</v>
      </c>
      <c r="G13" s="4" t="n">
        <v>1250</v>
      </c>
      <c r="H13" s="6">
        <f>F13/G13</f>
        <v/>
      </c>
      <c r="I13" s="7">
        <f>H13/8</f>
        <v/>
      </c>
      <c r="J13" s="4" t="n">
        <v>5</v>
      </c>
      <c r="K13" s="4" t="n">
        <v>5</v>
      </c>
      <c r="L13" s="4">
        <f>K13-J13</f>
        <v/>
      </c>
      <c r="M13" s="4" t="inlineStr"/>
    </row>
    <row r="14">
      <c r="A14" s="4" t="inlineStr">
        <is>
          <t>mar 12/05</t>
        </is>
      </c>
      <c r="B14" s="4" t="inlineStr">
        <is>
          <t>Linea 2</t>
        </is>
      </c>
      <c r="C14" s="4" t="inlineStr">
        <is>
          <t>T1</t>
        </is>
      </c>
      <c r="D14" s="4" t="inlineStr">
        <is>
          <t>AF-CR-0215</t>
        </is>
      </c>
      <c r="E14" s="4" t="inlineStr">
        <is>
          <t>ORD-T1124</t>
        </is>
      </c>
      <c r="F14" s="5" t="n">
        <v>7800</v>
      </c>
      <c r="G14" s="4" t="n">
        <v>780</v>
      </c>
      <c r="H14" s="6">
        <f>F14/G14</f>
        <v/>
      </c>
      <c r="I14" s="7">
        <f>H14/8</f>
        <v/>
      </c>
      <c r="J14" s="4" t="n">
        <v>7</v>
      </c>
      <c r="K14" s="4" t="n">
        <v>7</v>
      </c>
      <c r="L14" s="4">
        <f>K14-J14</f>
        <v/>
      </c>
      <c r="M14" s="4" t="inlineStr"/>
    </row>
    <row r="15">
      <c r="A15" s="4" t="inlineStr">
        <is>
          <t>mar 12/05</t>
        </is>
      </c>
      <c r="B15" s="4" t="inlineStr">
        <is>
          <t>Linea 2</t>
        </is>
      </c>
      <c r="C15" s="4" t="inlineStr">
        <is>
          <t>T2</t>
        </is>
      </c>
      <c r="D15" s="4" t="inlineStr">
        <is>
          <t>AF-CR-0215</t>
        </is>
      </c>
      <c r="E15" s="4" t="inlineStr">
        <is>
          <t>ORD-T1355</t>
        </is>
      </c>
      <c r="F15" s="5" t="n">
        <v>7080</v>
      </c>
      <c r="G15" s="4" t="n">
        <v>780</v>
      </c>
      <c r="H15" s="6">
        <f>F15/G15</f>
        <v/>
      </c>
      <c r="I15" s="7">
        <f>H15/8</f>
        <v/>
      </c>
      <c r="J15" s="4" t="n">
        <v>7</v>
      </c>
      <c r="K15" s="4" t="n">
        <v>7</v>
      </c>
      <c r="L15" s="4">
        <f>K15-J15</f>
        <v/>
      </c>
      <c r="M15" s="4" t="inlineStr"/>
    </row>
    <row r="16">
      <c r="A16" s="4" t="inlineStr">
        <is>
          <t>mar 12/05</t>
        </is>
      </c>
      <c r="B16" s="4" t="inlineStr">
        <is>
          <t>Linea 2</t>
        </is>
      </c>
      <c r="C16" s="4" t="inlineStr">
        <is>
          <t>T3</t>
        </is>
      </c>
      <c r="D16" s="4" t="inlineStr">
        <is>
          <t>AF-CR-0215</t>
        </is>
      </c>
      <c r="E16" s="4" t="inlineStr">
        <is>
          <t>ORD-T1193</t>
        </is>
      </c>
      <c r="F16" s="5" t="n">
        <v>5400</v>
      </c>
      <c r="G16" s="4" t="n">
        <v>780</v>
      </c>
      <c r="H16" s="6">
        <f>F16/G16</f>
        <v/>
      </c>
      <c r="I16" s="7">
        <f>H16/8</f>
        <v/>
      </c>
      <c r="J16" s="4" t="n">
        <v>7</v>
      </c>
      <c r="K16" s="4" t="n">
        <v>7</v>
      </c>
      <c r="L16" s="4">
        <f>K16-J16</f>
        <v/>
      </c>
      <c r="M16" s="4" t="inlineStr"/>
    </row>
    <row r="17">
      <c r="A17" s="4" t="inlineStr">
        <is>
          <t>mar 12/05</t>
        </is>
      </c>
      <c r="B17" s="4" t="inlineStr">
        <is>
          <t>Linea 3</t>
        </is>
      </c>
      <c r="C17" s="4" t="inlineStr">
        <is>
          <t>T1</t>
        </is>
      </c>
      <c r="D17" s="4" t="inlineStr">
        <is>
          <t>AF-CR-0212</t>
        </is>
      </c>
      <c r="E17" s="4" t="inlineStr">
        <is>
          <t>ORD-T1374</t>
        </is>
      </c>
      <c r="F17" s="5" t="n">
        <v>5260</v>
      </c>
      <c r="G17" s="4" t="n">
        <v>640</v>
      </c>
      <c r="H17" s="6">
        <f>F17/G17</f>
        <v/>
      </c>
      <c r="I17" s="7">
        <f>H17/8</f>
        <v/>
      </c>
      <c r="J17" s="4" t="n">
        <v>4</v>
      </c>
      <c r="K17" s="4" t="n">
        <v>4</v>
      </c>
      <c r="L17" s="4">
        <f>K17-J17</f>
        <v/>
      </c>
      <c r="M17" s="4" t="inlineStr"/>
    </row>
    <row r="18">
      <c r="A18" s="4" t="inlineStr">
        <is>
          <t>mer 13/05</t>
        </is>
      </c>
      <c r="B18" s="4" t="inlineStr">
        <is>
          <t>Linea 1</t>
        </is>
      </c>
      <c r="C18" s="4" t="inlineStr">
        <is>
          <t>T1</t>
        </is>
      </c>
      <c r="D18" s="4" t="inlineStr">
        <is>
          <t>AF-SN-0450</t>
        </is>
      </c>
      <c r="E18" s="4" t="inlineStr">
        <is>
          <t>ORD-T1213</t>
        </is>
      </c>
      <c r="F18" s="5" t="n">
        <v>6620</v>
      </c>
      <c r="G18" s="4" t="n">
        <v>1250</v>
      </c>
      <c r="H18" s="6">
        <f>F18/G18</f>
        <v/>
      </c>
      <c r="I18" s="7">
        <f>H18/8</f>
        <v/>
      </c>
      <c r="J18" s="4" t="n">
        <v>5</v>
      </c>
      <c r="K18" s="4" t="n">
        <v>5</v>
      </c>
      <c r="L18" s="4">
        <f>K18-J18</f>
        <v/>
      </c>
      <c r="M18" s="4" t="inlineStr"/>
    </row>
    <row r="19">
      <c r="A19" s="4" t="inlineStr">
        <is>
          <t>mer 13/05</t>
        </is>
      </c>
      <c r="B19" s="4" t="inlineStr">
        <is>
          <t>Linea 1</t>
        </is>
      </c>
      <c r="C19" s="4" t="inlineStr">
        <is>
          <t>T2</t>
        </is>
      </c>
      <c r="D19" s="4" t="inlineStr">
        <is>
          <t>AF-SN-0450</t>
        </is>
      </c>
      <c r="E19" s="4" t="inlineStr">
        <is>
          <t>ORD-T1278</t>
        </is>
      </c>
      <c r="F19" s="5" t="n">
        <v>3560</v>
      </c>
      <c r="G19" s="4" t="n">
        <v>1250</v>
      </c>
      <c r="H19" s="6">
        <f>F19/G19</f>
        <v/>
      </c>
      <c r="I19" s="7">
        <f>H19/8</f>
        <v/>
      </c>
      <c r="J19" s="4" t="n">
        <v>5</v>
      </c>
      <c r="K19" s="4" t="n">
        <v>5</v>
      </c>
      <c r="L19" s="4">
        <f>K19-J19</f>
        <v/>
      </c>
      <c r="M19" s="4" t="inlineStr"/>
    </row>
    <row r="20">
      <c r="A20" s="4" t="inlineStr">
        <is>
          <t>mer 13/05</t>
        </is>
      </c>
      <c r="B20" s="4" t="inlineStr">
        <is>
          <t>Linea 2</t>
        </is>
      </c>
      <c r="C20" s="4" t="inlineStr">
        <is>
          <t>T1</t>
        </is>
      </c>
      <c r="D20" s="4" t="inlineStr">
        <is>
          <t>AF-CR-0215</t>
        </is>
      </c>
      <c r="E20" s="4" t="inlineStr">
        <is>
          <t>ORD-T1120</t>
        </is>
      </c>
      <c r="F20" s="5" t="n">
        <v>8220</v>
      </c>
      <c r="G20" s="4" t="n">
        <v>780</v>
      </c>
      <c r="H20" s="6">
        <f>F20/G20</f>
        <v/>
      </c>
      <c r="I20" s="7">
        <f>H20/8</f>
        <v/>
      </c>
      <c r="J20" s="4" t="n">
        <v>7</v>
      </c>
      <c r="K20" s="4" t="n">
        <v>7</v>
      </c>
      <c r="L20" s="4">
        <f>K20-J20</f>
        <v/>
      </c>
      <c r="M20" s="4" t="inlineStr"/>
    </row>
    <row r="21">
      <c r="A21" s="4" t="inlineStr">
        <is>
          <t>mer 13/05</t>
        </is>
      </c>
      <c r="B21" s="4" t="inlineStr">
        <is>
          <t>Linea 2</t>
        </is>
      </c>
      <c r="C21" s="4" t="inlineStr">
        <is>
          <t>T2</t>
        </is>
      </c>
      <c r="D21" s="4" t="inlineStr">
        <is>
          <t>AF-CR-0215</t>
        </is>
      </c>
      <c r="E21" s="4" t="inlineStr">
        <is>
          <t>ORD-T1308</t>
        </is>
      </c>
      <c r="F21" s="5" t="n">
        <v>6720</v>
      </c>
      <c r="G21" s="4" t="n">
        <v>780</v>
      </c>
      <c r="H21" s="6">
        <f>F21/G21</f>
        <v/>
      </c>
      <c r="I21" s="7">
        <f>H21/8</f>
        <v/>
      </c>
      <c r="J21" s="4" t="n">
        <v>7</v>
      </c>
      <c r="K21" s="4" t="n">
        <v>7</v>
      </c>
      <c r="L21" s="4">
        <f>K21-J21</f>
        <v/>
      </c>
      <c r="M21" s="4" t="inlineStr"/>
    </row>
    <row r="22">
      <c r="A22" s="4" t="inlineStr">
        <is>
          <t>mer 13/05</t>
        </is>
      </c>
      <c r="B22" s="4" t="inlineStr">
        <is>
          <t>Linea 2</t>
        </is>
      </c>
      <c r="C22" s="4" t="inlineStr">
        <is>
          <t>T3</t>
        </is>
      </c>
      <c r="D22" s="4" t="inlineStr">
        <is>
          <t>AF-CR-0215</t>
        </is>
      </c>
      <c r="E22" s="4" t="inlineStr">
        <is>
          <t>ORD-T1236</t>
        </is>
      </c>
      <c r="F22" s="5" t="n">
        <v>4180</v>
      </c>
      <c r="G22" s="4" t="n">
        <v>780</v>
      </c>
      <c r="H22" s="6">
        <f>F22/G22</f>
        <v/>
      </c>
      <c r="I22" s="7">
        <f>H22/8</f>
        <v/>
      </c>
      <c r="J22" s="4" t="n">
        <v>7</v>
      </c>
      <c r="K22" s="4" t="n">
        <v>7</v>
      </c>
      <c r="L22" s="4">
        <f>K22-J22</f>
        <v/>
      </c>
      <c r="M22" s="4" t="inlineStr"/>
    </row>
    <row r="23">
      <c r="A23" s="4" t="inlineStr">
        <is>
          <t>mer 13/05</t>
        </is>
      </c>
      <c r="B23" s="4" t="inlineStr">
        <is>
          <t>Linea 3</t>
        </is>
      </c>
      <c r="C23" s="4" t="inlineStr">
        <is>
          <t>T1</t>
        </is>
      </c>
      <c r="D23" s="4" t="inlineStr">
        <is>
          <t>AF-CR-0212</t>
        </is>
      </c>
      <c r="E23" s="4" t="inlineStr">
        <is>
          <t>ORD-T1393</t>
        </is>
      </c>
      <c r="F23" s="5" t="n">
        <v>4580</v>
      </c>
      <c r="G23" s="4" t="n">
        <v>640</v>
      </c>
      <c r="H23" s="6">
        <f>F23/G23</f>
        <v/>
      </c>
      <c r="I23" s="7">
        <f>H23/8</f>
        <v/>
      </c>
      <c r="J23" s="4" t="n">
        <v>4</v>
      </c>
      <c r="K23" s="4" t="n">
        <v>4</v>
      </c>
      <c r="L23" s="4">
        <f>K23-J23</f>
        <v/>
      </c>
      <c r="M23" s="4" t="inlineStr"/>
    </row>
    <row r="24">
      <c r="A24" s="4" t="inlineStr">
        <is>
          <t>gio 14/05</t>
        </is>
      </c>
      <c r="B24" s="4" t="inlineStr">
        <is>
          <t>Linea 1</t>
        </is>
      </c>
      <c r="C24" s="4" t="inlineStr">
        <is>
          <t>T1</t>
        </is>
      </c>
      <c r="D24" s="4" t="inlineStr">
        <is>
          <t>AF-SN-0450</t>
        </is>
      </c>
      <c r="E24" s="4" t="inlineStr">
        <is>
          <t>ORD-T1398</t>
        </is>
      </c>
      <c r="F24" s="5" t="n">
        <v>7240</v>
      </c>
      <c r="G24" s="4" t="n">
        <v>1250</v>
      </c>
      <c r="H24" s="6">
        <f>F24/G24</f>
        <v/>
      </c>
      <c r="I24" s="7">
        <f>H24/8</f>
        <v/>
      </c>
      <c r="J24" s="4" t="n">
        <v>5</v>
      </c>
      <c r="K24" s="4" t="n">
        <v>5</v>
      </c>
      <c r="L24" s="4">
        <f>K24-J24</f>
        <v/>
      </c>
      <c r="M24" s="4" t="inlineStr"/>
    </row>
    <row r="25">
      <c r="A25" s="4" t="inlineStr">
        <is>
          <t>gio 14/05</t>
        </is>
      </c>
      <c r="B25" s="4" t="inlineStr">
        <is>
          <t>Linea 1</t>
        </is>
      </c>
      <c r="C25" s="4" t="inlineStr">
        <is>
          <t>T2</t>
        </is>
      </c>
      <c r="D25" s="4" t="inlineStr">
        <is>
          <t>AF-FC-0330</t>
        </is>
      </c>
      <c r="E25" s="4" t="inlineStr">
        <is>
          <t>ORD-T1158</t>
        </is>
      </c>
      <c r="F25" s="5" t="n">
        <v>3300</v>
      </c>
      <c r="G25" s="4" t="n">
        <v>1250</v>
      </c>
      <c r="H25" s="6">
        <f>F25/G25</f>
        <v/>
      </c>
      <c r="I25" s="7">
        <f>H25/8</f>
        <v/>
      </c>
      <c r="J25" s="4" t="n">
        <v>5</v>
      </c>
      <c r="K25" s="4" t="n">
        <v>5</v>
      </c>
      <c r="L25" s="4">
        <f>K25-J25</f>
        <v/>
      </c>
      <c r="M25" s="4" t="inlineStr"/>
    </row>
    <row r="26">
      <c r="A26" s="4" t="inlineStr">
        <is>
          <t>gio 14/05</t>
        </is>
      </c>
      <c r="B26" s="4" t="inlineStr">
        <is>
          <t>Linea 2</t>
        </is>
      </c>
      <c r="C26" s="4" t="inlineStr">
        <is>
          <t>T1</t>
        </is>
      </c>
      <c r="D26" s="4" t="inlineStr">
        <is>
          <t>AF-CR-0215</t>
        </is>
      </c>
      <c r="E26" s="4" t="inlineStr">
        <is>
          <t>ORD-T1236</t>
        </is>
      </c>
      <c r="F26" s="5" t="n">
        <v>6040</v>
      </c>
      <c r="G26" s="4" t="n">
        <v>780</v>
      </c>
      <c r="H26" s="6">
        <f>F26/G26</f>
        <v/>
      </c>
      <c r="I26" s="7">
        <f>H26/8</f>
        <v/>
      </c>
      <c r="J26" s="4" t="n">
        <v>7</v>
      </c>
      <c r="K26" s="4" t="n">
        <v>7</v>
      </c>
      <c r="L26" s="4">
        <f>K26-J26</f>
        <v/>
      </c>
      <c r="M26" s="4" t="inlineStr"/>
    </row>
    <row r="27">
      <c r="A27" s="4" t="inlineStr">
        <is>
          <t>gio 14/05</t>
        </is>
      </c>
      <c r="B27" s="4" t="inlineStr">
        <is>
          <t>Linea 2</t>
        </is>
      </c>
      <c r="C27" s="4" t="inlineStr">
        <is>
          <t>T2</t>
        </is>
      </c>
      <c r="D27" s="4" t="inlineStr">
        <is>
          <t>AF-CR-0215</t>
        </is>
      </c>
      <c r="E27" s="4" t="inlineStr">
        <is>
          <t>ORD-T1453</t>
        </is>
      </c>
      <c r="F27" s="5" t="n">
        <v>8160</v>
      </c>
      <c r="G27" s="4" t="n">
        <v>780</v>
      </c>
      <c r="H27" s="6">
        <f>F27/G27</f>
        <v/>
      </c>
      <c r="I27" s="7">
        <f>H27/8</f>
        <v/>
      </c>
      <c r="J27" s="4" t="n">
        <v>7</v>
      </c>
      <c r="K27" s="4" t="n">
        <v>7</v>
      </c>
      <c r="L27" s="4">
        <f>K27-J27</f>
        <v/>
      </c>
      <c r="M27" s="4" t="inlineStr"/>
    </row>
    <row r="28">
      <c r="A28" s="4" t="inlineStr">
        <is>
          <t>gio 14/05</t>
        </is>
      </c>
      <c r="B28" s="4" t="inlineStr">
        <is>
          <t>Linea 2</t>
        </is>
      </c>
      <c r="C28" s="4" t="inlineStr">
        <is>
          <t>T3</t>
        </is>
      </c>
      <c r="D28" s="4" t="inlineStr">
        <is>
          <t>AF-CR-0215</t>
        </is>
      </c>
      <c r="E28" s="4" t="inlineStr">
        <is>
          <t>ORD-T1360</t>
        </is>
      </c>
      <c r="F28" s="5" t="n">
        <v>4640</v>
      </c>
      <c r="G28" s="4" t="n">
        <v>780</v>
      </c>
      <c r="H28" s="6">
        <f>F28/G28</f>
        <v/>
      </c>
      <c r="I28" s="7">
        <f>H28/8</f>
        <v/>
      </c>
      <c r="J28" s="4" t="n">
        <v>7</v>
      </c>
      <c r="K28" s="4" t="n">
        <v>7</v>
      </c>
      <c r="L28" s="4">
        <f>K28-J28</f>
        <v/>
      </c>
      <c r="M28" s="4" t="inlineStr"/>
    </row>
    <row r="29">
      <c r="A29" s="4" t="inlineStr">
        <is>
          <t>gio 14/05</t>
        </is>
      </c>
      <c r="B29" s="4" t="inlineStr">
        <is>
          <t>Linea 3</t>
        </is>
      </c>
      <c r="C29" s="4" t="inlineStr">
        <is>
          <t>T1</t>
        </is>
      </c>
      <c r="D29" s="4" t="inlineStr">
        <is>
          <t>AF-CR-0212</t>
        </is>
      </c>
      <c r="E29" s="4" t="inlineStr">
        <is>
          <t>ORD-T1208</t>
        </is>
      </c>
      <c r="F29" s="5" t="n">
        <v>6840</v>
      </c>
      <c r="G29" s="4" t="n">
        <v>640</v>
      </c>
      <c r="H29" s="6">
        <f>F29/G29</f>
        <v/>
      </c>
      <c r="I29" s="7">
        <f>H29/8</f>
        <v/>
      </c>
      <c r="J29" s="4" t="n">
        <v>4</v>
      </c>
      <c r="K29" s="4" t="n">
        <v>4</v>
      </c>
      <c r="L29" s="4">
        <f>K29-J29</f>
        <v/>
      </c>
      <c r="M29" s="4" t="inlineStr"/>
    </row>
    <row r="30">
      <c r="A30" s="4" t="inlineStr">
        <is>
          <t>ven 15/05</t>
        </is>
      </c>
      <c r="B30" s="4" t="inlineStr">
        <is>
          <t>Linea 1</t>
        </is>
      </c>
      <c r="C30" s="4" t="inlineStr">
        <is>
          <t>T1</t>
        </is>
      </c>
      <c r="D30" s="4" t="inlineStr">
        <is>
          <t>AF-SN-0450</t>
        </is>
      </c>
      <c r="E30" s="4" t="inlineStr">
        <is>
          <t>ORD-T1330</t>
        </is>
      </c>
      <c r="F30" s="5" t="n">
        <v>4160</v>
      </c>
      <c r="G30" s="4" t="n">
        <v>1250</v>
      </c>
      <c r="H30" s="6">
        <f>F30/G30</f>
        <v/>
      </c>
      <c r="I30" s="7">
        <f>H30/8</f>
        <v/>
      </c>
      <c r="J30" s="4" t="n">
        <v>5</v>
      </c>
      <c r="K30" s="4" t="n">
        <v>5</v>
      </c>
      <c r="L30" s="4">
        <f>K30-J30</f>
        <v/>
      </c>
      <c r="M30" s="4" t="inlineStr"/>
    </row>
    <row r="31">
      <c r="A31" s="4" t="inlineStr">
        <is>
          <t>ven 15/05</t>
        </is>
      </c>
      <c r="B31" s="4" t="inlineStr">
        <is>
          <t>Linea 1</t>
        </is>
      </c>
      <c r="C31" s="4" t="inlineStr">
        <is>
          <t>T2</t>
        </is>
      </c>
      <c r="D31" s="4" t="inlineStr">
        <is>
          <t>AF-SN-0450</t>
        </is>
      </c>
      <c r="E31" s="4" t="inlineStr">
        <is>
          <t>ORD-T1406</t>
        </is>
      </c>
      <c r="F31" s="5" t="n">
        <v>4880</v>
      </c>
      <c r="G31" s="4" t="n">
        <v>1250</v>
      </c>
      <c r="H31" s="6">
        <f>F31/G31</f>
        <v/>
      </c>
      <c r="I31" s="7">
        <f>H31/8</f>
        <v/>
      </c>
      <c r="J31" s="4" t="n">
        <v>5</v>
      </c>
      <c r="K31" s="4" t="n">
        <v>5</v>
      </c>
      <c r="L31" s="4">
        <f>K31-J31</f>
        <v/>
      </c>
      <c r="M31" s="4" t="inlineStr"/>
    </row>
    <row r="32">
      <c r="A32" s="4" t="inlineStr">
        <is>
          <t>ven 15/05</t>
        </is>
      </c>
      <c r="B32" s="4" t="inlineStr">
        <is>
          <t>Linea 2</t>
        </is>
      </c>
      <c r="C32" s="4" t="inlineStr">
        <is>
          <t>T1</t>
        </is>
      </c>
      <c r="D32" s="4" t="inlineStr">
        <is>
          <t>AF-CR-0215</t>
        </is>
      </c>
      <c r="E32" s="4" t="inlineStr">
        <is>
          <t>ORD-T1365</t>
        </is>
      </c>
      <c r="F32" s="5" t="n">
        <v>3220</v>
      </c>
      <c r="G32" s="4" t="n">
        <v>780</v>
      </c>
      <c r="H32" s="6">
        <f>F32/G32</f>
        <v/>
      </c>
      <c r="I32" s="7">
        <f>H32/8</f>
        <v/>
      </c>
      <c r="J32" s="4" t="n">
        <v>7</v>
      </c>
      <c r="K32" s="4" t="n">
        <v>7</v>
      </c>
      <c r="L32" s="4">
        <f>K32-J32</f>
        <v/>
      </c>
      <c r="M32" s="4" t="inlineStr"/>
    </row>
    <row r="33">
      <c r="A33" s="4" t="inlineStr">
        <is>
          <t>ven 15/05</t>
        </is>
      </c>
      <c r="B33" s="4" t="inlineStr">
        <is>
          <t>Linea 2</t>
        </is>
      </c>
      <c r="C33" s="4" t="inlineStr">
        <is>
          <t>T2</t>
        </is>
      </c>
      <c r="D33" s="4" t="inlineStr">
        <is>
          <t>AF-CR-0215</t>
        </is>
      </c>
      <c r="E33" s="4" t="inlineStr">
        <is>
          <t>ORD-T1397</t>
        </is>
      </c>
      <c r="F33" s="5" t="n">
        <v>8840</v>
      </c>
      <c r="G33" s="4" t="n">
        <v>780</v>
      </c>
      <c r="H33" s="6">
        <f>F33/G33</f>
        <v/>
      </c>
      <c r="I33" s="7">
        <f>H33/8</f>
        <v/>
      </c>
      <c r="J33" s="4" t="n">
        <v>7</v>
      </c>
      <c r="K33" s="4" t="n">
        <v>7</v>
      </c>
      <c r="L33" s="4">
        <f>K33-J33</f>
        <v/>
      </c>
      <c r="M33" s="4" t="inlineStr"/>
    </row>
    <row r="34">
      <c r="A34" s="4" t="inlineStr">
        <is>
          <t>ven 15/05</t>
        </is>
      </c>
      <c r="B34" s="4" t="inlineStr">
        <is>
          <t>Linea 2</t>
        </is>
      </c>
      <c r="C34" s="4" t="inlineStr">
        <is>
          <t>T3</t>
        </is>
      </c>
      <c r="D34" s="4" t="inlineStr">
        <is>
          <t>AF-CR-0215</t>
        </is>
      </c>
      <c r="E34" s="4" t="inlineStr">
        <is>
          <t>ORD-T1148</t>
        </is>
      </c>
      <c r="F34" s="5" t="n">
        <v>5040</v>
      </c>
      <c r="G34" s="4" t="n">
        <v>780</v>
      </c>
      <c r="H34" s="6">
        <f>F34/G34</f>
        <v/>
      </c>
      <c r="I34" s="7">
        <f>H34/8</f>
        <v/>
      </c>
      <c r="J34" s="4" t="n">
        <v>7</v>
      </c>
      <c r="K34" s="4" t="n">
        <v>7</v>
      </c>
      <c r="L34" s="4">
        <f>K34-J34</f>
        <v/>
      </c>
      <c r="M34" s="4" t="inlineStr"/>
    </row>
    <row r="35">
      <c r="A35" s="4" t="inlineStr">
        <is>
          <t>ven 15/05</t>
        </is>
      </c>
      <c r="B35" s="4" t="inlineStr">
        <is>
          <t>Linea 3</t>
        </is>
      </c>
      <c r="C35" s="4" t="inlineStr">
        <is>
          <t>T1</t>
        </is>
      </c>
      <c r="D35" s="4" t="inlineStr">
        <is>
          <t>AF-CR-0212</t>
        </is>
      </c>
      <c r="E35" s="4" t="inlineStr">
        <is>
          <t>ORD-T1324</t>
        </is>
      </c>
      <c r="F35" s="5" t="n">
        <v>3360</v>
      </c>
      <c r="G35" s="4" t="n">
        <v>640</v>
      </c>
      <c r="H35" s="6">
        <f>F35/G35</f>
        <v/>
      </c>
      <c r="I35" s="7">
        <f>H35/8</f>
        <v/>
      </c>
      <c r="J35" s="4" t="n">
        <v>4</v>
      </c>
      <c r="K35" s="4" t="n">
        <v>4</v>
      </c>
      <c r="L35" s="4">
        <f>K35-J35</f>
        <v/>
      </c>
      <c r="M35" s="4" t="inlineStr"/>
    </row>
    <row r="36">
      <c r="A36" s="4" t="inlineStr">
        <is>
          <t>sab 16/05</t>
        </is>
      </c>
      <c r="B36" s="4" t="inlineStr">
        <is>
          <t>Linea 1</t>
        </is>
      </c>
      <c r="C36" s="4" t="inlineStr">
        <is>
          <t>T1</t>
        </is>
      </c>
      <c r="D36" s="4" t="inlineStr">
        <is>
          <t>AF-SN-0450</t>
        </is>
      </c>
      <c r="E36" s="4" t="inlineStr">
        <is>
          <t>ORD-T1189</t>
        </is>
      </c>
      <c r="F36" s="5" t="n">
        <v>3460</v>
      </c>
      <c r="G36" s="4" t="n">
        <v>1250</v>
      </c>
      <c r="H36" s="6">
        <f>F36/G36</f>
        <v/>
      </c>
      <c r="I36" s="7">
        <f>H36/8</f>
        <v/>
      </c>
      <c r="J36" s="4" t="n">
        <v>5</v>
      </c>
      <c r="K36" s="4" t="n">
        <v>5</v>
      </c>
      <c r="L36" s="4">
        <f>K36-J36</f>
        <v/>
      </c>
      <c r="M36" s="4" t="inlineStr"/>
    </row>
    <row r="37">
      <c r="A37" s="4" t="inlineStr">
        <is>
          <t>sab 16/05</t>
        </is>
      </c>
      <c r="B37" s="4" t="inlineStr">
        <is>
          <t>Linea 1</t>
        </is>
      </c>
      <c r="C37" s="4" t="inlineStr">
        <is>
          <t>T2</t>
        </is>
      </c>
      <c r="D37" s="4" t="inlineStr">
        <is>
          <t>AF-SN-0450</t>
        </is>
      </c>
      <c r="E37" s="4" t="inlineStr">
        <is>
          <t>ORD-T1473</t>
        </is>
      </c>
      <c r="F37" s="5" t="n">
        <v>4920</v>
      </c>
      <c r="G37" s="4" t="n">
        <v>1250</v>
      </c>
      <c r="H37" s="6">
        <f>F37/G37</f>
        <v/>
      </c>
      <c r="I37" s="7">
        <f>H37/8</f>
        <v/>
      </c>
      <c r="J37" s="4" t="n">
        <v>5</v>
      </c>
      <c r="K37" s="4" t="n">
        <v>5</v>
      </c>
      <c r="L37" s="4">
        <f>K37-J37</f>
        <v/>
      </c>
      <c r="M37" s="4" t="inlineStr"/>
    </row>
    <row r="38">
      <c r="A38" s="4" t="inlineStr">
        <is>
          <t>sab 16/05</t>
        </is>
      </c>
      <c r="B38" s="4" t="inlineStr">
        <is>
          <t>Linea 2</t>
        </is>
      </c>
      <c r="C38" s="4" t="inlineStr">
        <is>
          <t>T1</t>
        </is>
      </c>
      <c r="D38" s="4" t="inlineStr">
        <is>
          <t>AF-CR-0215</t>
        </is>
      </c>
      <c r="E38" s="4" t="inlineStr">
        <is>
          <t>ORD-T1399</t>
        </is>
      </c>
      <c r="F38" s="5" t="n">
        <v>9140</v>
      </c>
      <c r="G38" s="4" t="n">
        <v>780</v>
      </c>
      <c r="H38" s="6">
        <f>F38/G38</f>
        <v/>
      </c>
      <c r="I38" s="7">
        <f>H38/8</f>
        <v/>
      </c>
      <c r="J38" s="4" t="n">
        <v>7</v>
      </c>
      <c r="K38" s="4" t="n">
        <v>7</v>
      </c>
      <c r="L38" s="4">
        <f>K38-J38</f>
        <v/>
      </c>
      <c r="M38" s="4" t="inlineStr"/>
    </row>
    <row r="39">
      <c r="A39" s="4" t="inlineStr">
        <is>
          <t>sab 16/05</t>
        </is>
      </c>
      <c r="B39" s="4" t="inlineStr">
        <is>
          <t>Linea 2</t>
        </is>
      </c>
      <c r="C39" s="4" t="inlineStr">
        <is>
          <t>T2</t>
        </is>
      </c>
      <c r="D39" s="4" t="inlineStr">
        <is>
          <t>AF-CR-0215</t>
        </is>
      </c>
      <c r="E39" s="4" t="inlineStr">
        <is>
          <t>ORD-T1235</t>
        </is>
      </c>
      <c r="F39" s="5" t="n">
        <v>3720</v>
      </c>
      <c r="G39" s="4" t="n">
        <v>780</v>
      </c>
      <c r="H39" s="6">
        <f>F39/G39</f>
        <v/>
      </c>
      <c r="I39" s="7">
        <f>H39/8</f>
        <v/>
      </c>
      <c r="J39" s="4" t="n">
        <v>7</v>
      </c>
      <c r="K39" s="4" t="n">
        <v>7</v>
      </c>
      <c r="L39" s="4">
        <f>K39-J39</f>
        <v/>
      </c>
      <c r="M39" s="4" t="inlineStr"/>
    </row>
    <row r="40">
      <c r="A40" s="4" t="inlineStr">
        <is>
          <t>sab 16/05</t>
        </is>
      </c>
      <c r="B40" s="4" t="inlineStr">
        <is>
          <t>Linea 2</t>
        </is>
      </c>
      <c r="C40" s="4" t="inlineStr">
        <is>
          <t>T3</t>
        </is>
      </c>
      <c r="D40" s="4" t="inlineStr">
        <is>
          <t>AF-CR-0215</t>
        </is>
      </c>
      <c r="E40" s="4" t="inlineStr">
        <is>
          <t>ORD-T1491</t>
        </is>
      </c>
      <c r="F40" s="5" t="n">
        <v>4220</v>
      </c>
      <c r="G40" s="4" t="n">
        <v>780</v>
      </c>
      <c r="H40" s="6">
        <f>F40/G40</f>
        <v/>
      </c>
      <c r="I40" s="7">
        <f>H40/8</f>
        <v/>
      </c>
      <c r="J40" s="4" t="n">
        <v>7</v>
      </c>
      <c r="K40" s="4" t="n">
        <v>7</v>
      </c>
      <c r="L40" s="4">
        <f>K40-J40</f>
        <v/>
      </c>
      <c r="M40" s="4" t="inlineStr"/>
    </row>
    <row r="41">
      <c r="A41" s="4" t="inlineStr">
        <is>
          <t>sab 16/05</t>
        </is>
      </c>
      <c r="B41" s="4" t="inlineStr">
        <is>
          <t>Linea 3</t>
        </is>
      </c>
      <c r="C41" s="4" t="inlineStr">
        <is>
          <t>T1</t>
        </is>
      </c>
      <c r="D41" s="4" t="inlineStr">
        <is>
          <t>AF-CR-0212</t>
        </is>
      </c>
      <c r="E41" s="4" t="inlineStr">
        <is>
          <t>ORD-T1195</t>
        </is>
      </c>
      <c r="F41" s="5" t="n">
        <v>8260</v>
      </c>
      <c r="G41" s="4" t="n">
        <v>640</v>
      </c>
      <c r="H41" s="6">
        <f>F41/G41</f>
        <v/>
      </c>
      <c r="I41" s="7">
        <f>H41/8</f>
        <v/>
      </c>
      <c r="J41" s="4" t="n">
        <v>4</v>
      </c>
      <c r="K41" s="4" t="n">
        <v>4</v>
      </c>
      <c r="L41" s="4">
        <f>K41-J41</f>
        <v/>
      </c>
      <c r="M41" s="4" t="inlineStr"/>
    </row>
    <row r="42">
      <c r="A42" s="8" t="inlineStr">
        <is>
          <t>dom 17/05</t>
        </is>
      </c>
      <c r="B42" s="8" t="inlineStr">
        <is>
          <t>Linea 2</t>
        </is>
      </c>
      <c r="C42" s="8" t="inlineStr">
        <is>
          <t>T1</t>
        </is>
      </c>
      <c r="D42" s="8" t="inlineStr">
        <is>
          <t>AF-CR-0215</t>
        </is>
      </c>
      <c r="E42" s="8" t="inlineStr">
        <is>
          <t>ORD-T1423</t>
        </is>
      </c>
      <c r="F42" s="9" t="n">
        <v>5640</v>
      </c>
      <c r="G42" s="8" t="n">
        <v>780</v>
      </c>
      <c r="H42" s="10">
        <f>F42/G42</f>
        <v/>
      </c>
      <c r="I42" s="11">
        <f>H42/8</f>
        <v/>
      </c>
      <c r="J42" s="8" t="n">
        <v>7</v>
      </c>
      <c r="K42" s="8" t="n">
        <v>4</v>
      </c>
      <c r="L42" s="8">
        <f>K42-J42</f>
        <v/>
      </c>
      <c r="M42" s="8" t="inlineStr">
        <is>
          <t>DOMENICA - maggiorazione festiva, personale su base volontaria</t>
        </is>
      </c>
    </row>
    <row r="43">
      <c r="A43" s="8" t="inlineStr">
        <is>
          <t>dom 17/05</t>
        </is>
      </c>
      <c r="B43" s="8" t="inlineStr">
        <is>
          <t>Linea 2</t>
        </is>
      </c>
      <c r="C43" s="8" t="inlineStr">
        <is>
          <t>T2</t>
        </is>
      </c>
      <c r="D43" s="8" t="inlineStr">
        <is>
          <t>AF-CR-0215</t>
        </is>
      </c>
      <c r="E43" s="8" t="inlineStr">
        <is>
          <t>ORD-T1347</t>
        </is>
      </c>
      <c r="F43" s="9" t="n">
        <v>3820</v>
      </c>
      <c r="G43" s="8" t="n">
        <v>780</v>
      </c>
      <c r="H43" s="10">
        <f>F43/G43</f>
        <v/>
      </c>
      <c r="I43" s="11">
        <f>H43/8</f>
        <v/>
      </c>
      <c r="J43" s="8" t="n">
        <v>7</v>
      </c>
      <c r="K43" s="8" t="n">
        <v>6</v>
      </c>
      <c r="L43" s="8">
        <f>K43-J43</f>
        <v/>
      </c>
      <c r="M43" s="8" t="inlineStr">
        <is>
          <t>DOMENICA - maggiorazione festiva, personale su base volontaria</t>
        </is>
      </c>
    </row>
    <row r="45">
      <c r="A45" s="12" t="inlineStr">
        <is>
          <t>totale pz settimana</t>
        </is>
      </c>
      <c r="F45" s="13">
        <f>SUM(F6:F43)</f>
        <v/>
      </c>
    </row>
    <row r="46">
      <c r="A46" s="12" t="inlineStr">
        <is>
          <t>ore macchina totali</t>
        </is>
      </c>
      <c r="H46" s="14">
        <f>SUM(H6:H43)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7" customWidth="1" min="3" max="3"/>
    <col width="12" customWidth="1" min="4" max="4"/>
    <col width="16" customWidth="1" min="5" max="5"/>
    <col width="13" customWidth="1" min="6" max="6"/>
    <col width="15" customWidth="1" min="7" max="7"/>
    <col width="12" customWidth="1" min="8" max="8"/>
    <col width="13" customWidth="1" min="9" max="9"/>
    <col width="15" customWidth="1" min="10" max="10"/>
    <col width="16" customWidth="1" min="11" max="11"/>
    <col width="10" customWidth="1" min="12" max="12"/>
    <col width="40" customWidth="1" min="13" max="13"/>
  </cols>
  <sheetData>
    <row r="1">
      <c r="A1" s="1" t="inlineStr">
        <is>
          <t>Piano di produzione Sett 21 - promo Sottocosto Primavera Tosano</t>
        </is>
      </c>
    </row>
    <row r="2">
      <c r="A2" s="2" t="inlineStr">
        <is>
          <t>D. Zanella - stampato il venerdì precedente, modificato a mano durante la settimana</t>
        </is>
      </c>
    </row>
    <row r="5" ht="28" customHeight="1">
      <c r="A5" s="3" t="inlineStr">
        <is>
          <t>Giorno</t>
        </is>
      </c>
      <c r="B5" s="3" t="inlineStr">
        <is>
          <t>Linea</t>
        </is>
      </c>
      <c r="C5" s="3" t="inlineStr">
        <is>
          <t>Turno</t>
        </is>
      </c>
      <c r="D5" s="3" t="inlineStr">
        <is>
          <t>Cod. art.</t>
        </is>
      </c>
      <c r="E5" s="3" t="inlineStr">
        <is>
          <t>Ordine cliente</t>
        </is>
      </c>
      <c r="F5" s="3" t="inlineStr">
        <is>
          <t>Pz da produrre</t>
        </is>
      </c>
      <c r="G5" s="3" t="inlineStr">
        <is>
          <t>Tempo ciclo (pz/h)</t>
        </is>
      </c>
      <c r="H5" s="3" t="inlineStr">
        <is>
          <t>Ore macchina</t>
        </is>
      </c>
      <c r="I5" s="3" t="inlineStr">
        <is>
          <t>Saturazione %</t>
        </is>
      </c>
      <c r="J5" s="3" t="inlineStr">
        <is>
          <t>Operai necessari</t>
        </is>
      </c>
      <c r="K5" s="3" t="inlineStr">
        <is>
          <t>Operai disponibili</t>
        </is>
      </c>
      <c r="L5" s="3" t="inlineStr">
        <is>
          <t>Scoperto</t>
        </is>
      </c>
      <c r="M5" s="3" t="inlineStr">
        <is>
          <t>Note</t>
        </is>
      </c>
    </row>
    <row r="6">
      <c r="A6" s="4" t="inlineStr">
        <is>
          <t>lun 18/05</t>
        </is>
      </c>
      <c r="B6" s="4" t="inlineStr">
        <is>
          <t>Linea 1</t>
        </is>
      </c>
      <c r="C6" s="4" t="inlineStr">
        <is>
          <t>T1</t>
        </is>
      </c>
      <c r="D6" s="4" t="inlineStr">
        <is>
          <t>AF-SN-0450</t>
        </is>
      </c>
      <c r="E6" s="4" t="inlineStr">
        <is>
          <t>ORD-T1187</t>
        </is>
      </c>
      <c r="F6" s="5" t="n">
        <v>6620</v>
      </c>
      <c r="G6" s="4" t="n">
        <v>1250</v>
      </c>
      <c r="H6" s="6">
        <f>F6/G6</f>
        <v/>
      </c>
      <c r="I6" s="7">
        <f>H6/8</f>
        <v/>
      </c>
      <c r="J6" s="4" t="n">
        <v>5</v>
      </c>
      <c r="K6" s="4" t="n">
        <v>5</v>
      </c>
      <c r="L6" s="4">
        <f>K6-J6</f>
        <v/>
      </c>
      <c r="M6" s="4" t="inlineStr"/>
    </row>
    <row r="7">
      <c r="A7" s="4" t="inlineStr">
        <is>
          <t>lun 18/05</t>
        </is>
      </c>
      <c r="B7" s="4" t="inlineStr">
        <is>
          <t>Linea 1</t>
        </is>
      </c>
      <c r="C7" s="4" t="inlineStr">
        <is>
          <t>T2</t>
        </is>
      </c>
      <c r="D7" s="4" t="inlineStr">
        <is>
          <t>AF-SN-0450</t>
        </is>
      </c>
      <c r="E7" s="4" t="inlineStr">
        <is>
          <t>ORD-T1192</t>
        </is>
      </c>
      <c r="F7" s="5" t="n">
        <v>3540</v>
      </c>
      <c r="G7" s="4" t="n">
        <v>1250</v>
      </c>
      <c r="H7" s="6">
        <f>F7/G7</f>
        <v/>
      </c>
      <c r="I7" s="7">
        <f>H7/8</f>
        <v/>
      </c>
      <c r="J7" s="4" t="n">
        <v>5</v>
      </c>
      <c r="K7" s="4" t="n">
        <v>5</v>
      </c>
      <c r="L7" s="4">
        <f>K7-J7</f>
        <v/>
      </c>
      <c r="M7" s="4" t="inlineStr"/>
    </row>
    <row r="8">
      <c r="A8" s="4" t="inlineStr">
        <is>
          <t>lun 18/05</t>
        </is>
      </c>
      <c r="B8" s="4" t="inlineStr">
        <is>
          <t>Linea 2</t>
        </is>
      </c>
      <c r="C8" s="4" t="inlineStr">
        <is>
          <t>T1</t>
        </is>
      </c>
      <c r="D8" s="4" t="inlineStr">
        <is>
          <t>AF-CR-0215</t>
        </is>
      </c>
      <c r="E8" s="4" t="inlineStr">
        <is>
          <t>ORD-T1163</t>
        </is>
      </c>
      <c r="F8" s="5" t="n">
        <v>9180</v>
      </c>
      <c r="G8" s="4" t="n">
        <v>780</v>
      </c>
      <c r="H8" s="6">
        <f>F8/G8</f>
        <v/>
      </c>
      <c r="I8" s="7">
        <f>H8/8</f>
        <v/>
      </c>
      <c r="J8" s="4" t="n">
        <v>7</v>
      </c>
      <c r="K8" s="4" t="n">
        <v>7</v>
      </c>
      <c r="L8" s="4">
        <f>K8-J8</f>
        <v/>
      </c>
      <c r="M8" s="4" t="inlineStr"/>
    </row>
    <row r="9">
      <c r="A9" s="4" t="inlineStr">
        <is>
          <t>lun 18/05</t>
        </is>
      </c>
      <c r="B9" s="4" t="inlineStr">
        <is>
          <t>Linea 2</t>
        </is>
      </c>
      <c r="C9" s="4" t="inlineStr">
        <is>
          <t>T2</t>
        </is>
      </c>
      <c r="D9" s="4" t="inlineStr">
        <is>
          <t>AF-CR-0215</t>
        </is>
      </c>
      <c r="E9" s="4" t="inlineStr">
        <is>
          <t>ORD-T1330</t>
        </is>
      </c>
      <c r="F9" s="5" t="n">
        <v>4200</v>
      </c>
      <c r="G9" s="4" t="n">
        <v>780</v>
      </c>
      <c r="H9" s="6">
        <f>F9/G9</f>
        <v/>
      </c>
      <c r="I9" s="7">
        <f>H9/8</f>
        <v/>
      </c>
      <c r="J9" s="4" t="n">
        <v>7</v>
      </c>
      <c r="K9" s="4" t="n">
        <v>7</v>
      </c>
      <c r="L9" s="4">
        <f>K9-J9</f>
        <v/>
      </c>
      <c r="M9" s="4" t="inlineStr"/>
    </row>
    <row r="10">
      <c r="A10" s="4" t="inlineStr">
        <is>
          <t>lun 18/05</t>
        </is>
      </c>
      <c r="B10" s="4" t="inlineStr">
        <is>
          <t>Linea 2</t>
        </is>
      </c>
      <c r="C10" s="4" t="inlineStr">
        <is>
          <t>T3</t>
        </is>
      </c>
      <c r="D10" s="4" t="inlineStr">
        <is>
          <t>AF-CR-0215</t>
        </is>
      </c>
      <c r="E10" s="4" t="inlineStr">
        <is>
          <t>ORD-T1451</t>
        </is>
      </c>
      <c r="F10" s="5" t="n">
        <v>4420</v>
      </c>
      <c r="G10" s="4" t="n">
        <v>780</v>
      </c>
      <c r="H10" s="6">
        <f>F10/G10</f>
        <v/>
      </c>
      <c r="I10" s="7">
        <f>H10/8</f>
        <v/>
      </c>
      <c r="J10" s="4" t="n">
        <v>7</v>
      </c>
      <c r="K10" s="4" t="n">
        <v>7</v>
      </c>
      <c r="L10" s="4">
        <f>K10-J10</f>
        <v/>
      </c>
      <c r="M10" s="4" t="inlineStr"/>
    </row>
    <row r="11">
      <c r="A11" s="4" t="inlineStr">
        <is>
          <t>lun 18/05</t>
        </is>
      </c>
      <c r="B11" s="4" t="inlineStr">
        <is>
          <t>Linea 3</t>
        </is>
      </c>
      <c r="C11" s="4" t="inlineStr">
        <is>
          <t>T1</t>
        </is>
      </c>
      <c r="D11" s="4" t="inlineStr">
        <is>
          <t>AF-CR-0212</t>
        </is>
      </c>
      <c r="E11" s="4" t="inlineStr">
        <is>
          <t>ORD-T1181</t>
        </is>
      </c>
      <c r="F11" s="5" t="n">
        <v>7200</v>
      </c>
      <c r="G11" s="4" t="n">
        <v>640</v>
      </c>
      <c r="H11" s="6">
        <f>F11/G11</f>
        <v/>
      </c>
      <c r="I11" s="7">
        <f>H11/8</f>
        <v/>
      </c>
      <c r="J11" s="4" t="n">
        <v>4</v>
      </c>
      <c r="K11" s="4" t="n">
        <v>4</v>
      </c>
      <c r="L11" s="4">
        <f>K11-J11</f>
        <v/>
      </c>
      <c r="M11" s="4" t="inlineStr"/>
    </row>
    <row r="12">
      <c r="A12" s="4" t="inlineStr">
        <is>
          <t>mar 19/05</t>
        </is>
      </c>
      <c r="B12" s="4" t="inlineStr">
        <is>
          <t>Linea 1</t>
        </is>
      </c>
      <c r="C12" s="4" t="inlineStr">
        <is>
          <t>T1</t>
        </is>
      </c>
      <c r="D12" s="4" t="inlineStr">
        <is>
          <t>AF-SN-0450</t>
        </is>
      </c>
      <c r="E12" s="4" t="inlineStr">
        <is>
          <t>ORD-T1209</t>
        </is>
      </c>
      <c r="F12" s="5" t="n">
        <v>8980</v>
      </c>
      <c r="G12" s="4" t="n">
        <v>1250</v>
      </c>
      <c r="H12" s="6">
        <f>F12/G12</f>
        <v/>
      </c>
      <c r="I12" s="7">
        <f>H12/8</f>
        <v/>
      </c>
      <c r="J12" s="4" t="n">
        <v>5</v>
      </c>
      <c r="K12" s="4" t="n">
        <v>5</v>
      </c>
      <c r="L12" s="4">
        <f>K12-J12</f>
        <v/>
      </c>
      <c r="M12" s="4" t="inlineStr"/>
    </row>
    <row r="13">
      <c r="A13" s="4" t="inlineStr">
        <is>
          <t>mar 19/05</t>
        </is>
      </c>
      <c r="B13" s="4" t="inlineStr">
        <is>
          <t>Linea 1</t>
        </is>
      </c>
      <c r="C13" s="4" t="inlineStr">
        <is>
          <t>T2</t>
        </is>
      </c>
      <c r="D13" s="4" t="inlineStr">
        <is>
          <t>AF-SN-0450</t>
        </is>
      </c>
      <c r="E13" s="4" t="inlineStr">
        <is>
          <t>ORD-T1499</t>
        </is>
      </c>
      <c r="F13" s="5" t="n">
        <v>8000</v>
      </c>
      <c r="G13" s="4" t="n">
        <v>1250</v>
      </c>
      <c r="H13" s="6">
        <f>F13/G13</f>
        <v/>
      </c>
      <c r="I13" s="7">
        <f>H13/8</f>
        <v/>
      </c>
      <c r="J13" s="4" t="n">
        <v>5</v>
      </c>
      <c r="K13" s="4" t="n">
        <v>5</v>
      </c>
      <c r="L13" s="4">
        <f>K13-J13</f>
        <v/>
      </c>
      <c r="M13" s="4" t="inlineStr"/>
    </row>
    <row r="14">
      <c r="A14" s="4" t="inlineStr">
        <is>
          <t>mar 19/05</t>
        </is>
      </c>
      <c r="B14" s="4" t="inlineStr">
        <is>
          <t>Linea 2</t>
        </is>
      </c>
      <c r="C14" s="4" t="inlineStr">
        <is>
          <t>T1</t>
        </is>
      </c>
      <c r="D14" s="4" t="inlineStr">
        <is>
          <t>AF-CR-0215</t>
        </is>
      </c>
      <c r="E14" s="4" t="inlineStr">
        <is>
          <t>ORD-T1382</t>
        </is>
      </c>
      <c r="F14" s="5" t="n">
        <v>5900</v>
      </c>
      <c r="G14" s="4" t="n">
        <v>780</v>
      </c>
      <c r="H14" s="6">
        <f>F14/G14</f>
        <v/>
      </c>
      <c r="I14" s="7">
        <f>H14/8</f>
        <v/>
      </c>
      <c r="J14" s="4" t="n">
        <v>7</v>
      </c>
      <c r="K14" s="4" t="n">
        <v>7</v>
      </c>
      <c r="L14" s="4">
        <f>K14-J14</f>
        <v/>
      </c>
      <c r="M14" s="4" t="inlineStr"/>
    </row>
    <row r="15">
      <c r="A15" s="4" t="inlineStr">
        <is>
          <t>mar 19/05</t>
        </is>
      </c>
      <c r="B15" s="4" t="inlineStr">
        <is>
          <t>Linea 2</t>
        </is>
      </c>
      <c r="C15" s="4" t="inlineStr">
        <is>
          <t>T2</t>
        </is>
      </c>
      <c r="D15" s="4" t="inlineStr">
        <is>
          <t>AF-CR-0215</t>
        </is>
      </c>
      <c r="E15" s="4" t="inlineStr">
        <is>
          <t>ORD-T1159</t>
        </is>
      </c>
      <c r="F15" s="5" t="n">
        <v>4200</v>
      </c>
      <c r="G15" s="4" t="n">
        <v>780</v>
      </c>
      <c r="H15" s="6">
        <f>F15/G15</f>
        <v/>
      </c>
      <c r="I15" s="7">
        <f>H15/8</f>
        <v/>
      </c>
      <c r="J15" s="4" t="n">
        <v>7</v>
      </c>
      <c r="K15" s="4" t="n">
        <v>7</v>
      </c>
      <c r="L15" s="4">
        <f>K15-J15</f>
        <v/>
      </c>
      <c r="M15" s="4" t="inlineStr"/>
    </row>
    <row r="16">
      <c r="A16" s="4" t="inlineStr">
        <is>
          <t>mar 19/05</t>
        </is>
      </c>
      <c r="B16" s="4" t="inlineStr">
        <is>
          <t>Linea 2</t>
        </is>
      </c>
      <c r="C16" s="4" t="inlineStr">
        <is>
          <t>T3</t>
        </is>
      </c>
      <c r="D16" s="4" t="inlineStr">
        <is>
          <t>AF-CR-0215</t>
        </is>
      </c>
      <c r="E16" s="4" t="inlineStr">
        <is>
          <t>ORD-T1257</t>
        </is>
      </c>
      <c r="F16" s="5" t="n">
        <v>8440</v>
      </c>
      <c r="G16" s="4" t="n">
        <v>780</v>
      </c>
      <c r="H16" s="6">
        <f>F16/G16</f>
        <v/>
      </c>
      <c r="I16" s="7">
        <f>H16/8</f>
        <v/>
      </c>
      <c r="J16" s="4" t="n">
        <v>7</v>
      </c>
      <c r="K16" s="4" t="n">
        <v>7</v>
      </c>
      <c r="L16" s="4">
        <f>K16-J16</f>
        <v/>
      </c>
      <c r="M16" s="4" t="inlineStr"/>
    </row>
    <row r="17">
      <c r="A17" s="4" t="inlineStr">
        <is>
          <t>mar 19/05</t>
        </is>
      </c>
      <c r="B17" s="4" t="inlineStr">
        <is>
          <t>Linea 3</t>
        </is>
      </c>
      <c r="C17" s="4" t="inlineStr">
        <is>
          <t>T1</t>
        </is>
      </c>
      <c r="D17" s="4" t="inlineStr">
        <is>
          <t>AF-CR-0212</t>
        </is>
      </c>
      <c r="E17" s="4" t="inlineStr">
        <is>
          <t>ORD-T1453</t>
        </is>
      </c>
      <c r="F17" s="5" t="n">
        <v>4080</v>
      </c>
      <c r="G17" s="4" t="n">
        <v>640</v>
      </c>
      <c r="H17" s="6">
        <f>F17/G17</f>
        <v/>
      </c>
      <c r="I17" s="7">
        <f>H17/8</f>
        <v/>
      </c>
      <c r="J17" s="4" t="n">
        <v>4</v>
      </c>
      <c r="K17" s="4" t="n">
        <v>4</v>
      </c>
      <c r="L17" s="4">
        <f>K17-J17</f>
        <v/>
      </c>
      <c r="M17" s="4" t="inlineStr"/>
    </row>
    <row r="18">
      <c r="A18" s="4" t="inlineStr">
        <is>
          <t>mer 20/05</t>
        </is>
      </c>
      <c r="B18" s="4" t="inlineStr">
        <is>
          <t>Linea 1</t>
        </is>
      </c>
      <c r="C18" s="4" t="inlineStr">
        <is>
          <t>T1</t>
        </is>
      </c>
      <c r="D18" s="4" t="inlineStr">
        <is>
          <t>AF-SN-0450</t>
        </is>
      </c>
      <c r="E18" s="4" t="inlineStr">
        <is>
          <t>ORD-T1405</t>
        </is>
      </c>
      <c r="F18" s="5" t="n">
        <v>7180</v>
      </c>
      <c r="G18" s="4" t="n">
        <v>1250</v>
      </c>
      <c r="H18" s="6">
        <f>F18/G18</f>
        <v/>
      </c>
      <c r="I18" s="7">
        <f>H18/8</f>
        <v/>
      </c>
      <c r="J18" s="4" t="n">
        <v>5</v>
      </c>
      <c r="K18" s="4" t="n">
        <v>5</v>
      </c>
      <c r="L18" s="4">
        <f>K18-J18</f>
        <v/>
      </c>
      <c r="M18" s="4" t="inlineStr"/>
    </row>
    <row r="19">
      <c r="A19" s="4" t="inlineStr">
        <is>
          <t>mer 20/05</t>
        </is>
      </c>
      <c r="B19" s="4" t="inlineStr">
        <is>
          <t>Linea 1</t>
        </is>
      </c>
      <c r="C19" s="4" t="inlineStr">
        <is>
          <t>T2</t>
        </is>
      </c>
      <c r="D19" s="4" t="inlineStr">
        <is>
          <t>AF-FC-0330</t>
        </is>
      </c>
      <c r="E19" s="4" t="inlineStr">
        <is>
          <t>ORD-T1437</t>
        </is>
      </c>
      <c r="F19" s="5" t="n">
        <v>8240</v>
      </c>
      <c r="G19" s="4" t="n">
        <v>1250</v>
      </c>
      <c r="H19" s="6">
        <f>F19/G19</f>
        <v/>
      </c>
      <c r="I19" s="7">
        <f>H19/8</f>
        <v/>
      </c>
      <c r="J19" s="4" t="n">
        <v>5</v>
      </c>
      <c r="K19" s="4" t="n">
        <v>5</v>
      </c>
      <c r="L19" s="4">
        <f>K19-J19</f>
        <v/>
      </c>
      <c r="M19" s="4" t="inlineStr"/>
    </row>
    <row r="20">
      <c r="A20" s="4" t="inlineStr">
        <is>
          <t>mer 20/05</t>
        </is>
      </c>
      <c r="B20" s="4" t="inlineStr">
        <is>
          <t>Linea 2</t>
        </is>
      </c>
      <c r="C20" s="4" t="inlineStr">
        <is>
          <t>T1</t>
        </is>
      </c>
      <c r="D20" s="4" t="inlineStr">
        <is>
          <t>AF-CR-0215</t>
        </is>
      </c>
      <c r="E20" s="4" t="inlineStr">
        <is>
          <t>ORD-T1363</t>
        </is>
      </c>
      <c r="F20" s="5" t="n">
        <v>4140</v>
      </c>
      <c r="G20" s="4" t="n">
        <v>780</v>
      </c>
      <c r="H20" s="6">
        <f>F20/G20</f>
        <v/>
      </c>
      <c r="I20" s="7">
        <f>H20/8</f>
        <v/>
      </c>
      <c r="J20" s="4" t="n">
        <v>7</v>
      </c>
      <c r="K20" s="4" t="n">
        <v>7</v>
      </c>
      <c r="L20" s="4">
        <f>K20-J20</f>
        <v/>
      </c>
      <c r="M20" s="4" t="inlineStr"/>
    </row>
    <row r="21">
      <c r="A21" s="4" t="inlineStr">
        <is>
          <t>mer 20/05</t>
        </is>
      </c>
      <c r="B21" s="4" t="inlineStr">
        <is>
          <t>Linea 2</t>
        </is>
      </c>
      <c r="C21" s="4" t="inlineStr">
        <is>
          <t>T2</t>
        </is>
      </c>
      <c r="D21" s="4" t="inlineStr">
        <is>
          <t>AF-CR-0215</t>
        </is>
      </c>
      <c r="E21" s="4" t="inlineStr">
        <is>
          <t>ORD-T1496</t>
        </is>
      </c>
      <c r="F21" s="5" t="n">
        <v>3900</v>
      </c>
      <c r="G21" s="4" t="n">
        <v>780</v>
      </c>
      <c r="H21" s="6">
        <f>F21/G21</f>
        <v/>
      </c>
      <c r="I21" s="7">
        <f>H21/8</f>
        <v/>
      </c>
      <c r="J21" s="4" t="n">
        <v>7</v>
      </c>
      <c r="K21" s="4" t="n">
        <v>7</v>
      </c>
      <c r="L21" s="4">
        <f>K21-J21</f>
        <v/>
      </c>
      <c r="M21" s="4" t="inlineStr"/>
    </row>
    <row r="22">
      <c r="A22" s="4" t="inlineStr">
        <is>
          <t>mer 20/05</t>
        </is>
      </c>
      <c r="B22" s="4" t="inlineStr">
        <is>
          <t>Linea 2</t>
        </is>
      </c>
      <c r="C22" s="4" t="inlineStr">
        <is>
          <t>T3</t>
        </is>
      </c>
      <c r="D22" s="4" t="inlineStr">
        <is>
          <t>AF-CR-0215</t>
        </is>
      </c>
      <c r="E22" s="4" t="inlineStr">
        <is>
          <t>ORD-T1485</t>
        </is>
      </c>
      <c r="F22" s="5" t="n">
        <v>8600</v>
      </c>
      <c r="G22" s="4" t="n">
        <v>780</v>
      </c>
      <c r="H22" s="6">
        <f>F22/G22</f>
        <v/>
      </c>
      <c r="I22" s="7">
        <f>H22/8</f>
        <v/>
      </c>
      <c r="J22" s="4" t="n">
        <v>7</v>
      </c>
      <c r="K22" s="4" t="n">
        <v>7</v>
      </c>
      <c r="L22" s="4">
        <f>K22-J22</f>
        <v/>
      </c>
      <c r="M22" s="4" t="inlineStr"/>
    </row>
    <row r="23">
      <c r="A23" s="4" t="inlineStr">
        <is>
          <t>mer 20/05</t>
        </is>
      </c>
      <c r="B23" s="4" t="inlineStr">
        <is>
          <t>Linea 3</t>
        </is>
      </c>
      <c r="C23" s="4" t="inlineStr">
        <is>
          <t>T1</t>
        </is>
      </c>
      <c r="D23" s="4" t="inlineStr">
        <is>
          <t>AF-CR-0212</t>
        </is>
      </c>
      <c r="E23" s="4" t="inlineStr">
        <is>
          <t>ORD-T1415</t>
        </is>
      </c>
      <c r="F23" s="5" t="n">
        <v>6840</v>
      </c>
      <c r="G23" s="4" t="n">
        <v>640</v>
      </c>
      <c r="H23" s="6">
        <f>F23/G23</f>
        <v/>
      </c>
      <c r="I23" s="7">
        <f>H23/8</f>
        <v/>
      </c>
      <c r="J23" s="4" t="n">
        <v>4</v>
      </c>
      <c r="K23" s="4" t="n">
        <v>4</v>
      </c>
      <c r="L23" s="4">
        <f>K23-J23</f>
        <v/>
      </c>
      <c r="M23" s="4" t="inlineStr"/>
    </row>
    <row r="24">
      <c r="A24" s="4" t="inlineStr">
        <is>
          <t>gio 21/05</t>
        </is>
      </c>
      <c r="B24" s="4" t="inlineStr">
        <is>
          <t>Linea 1</t>
        </is>
      </c>
      <c r="C24" s="4" t="inlineStr">
        <is>
          <t>T1</t>
        </is>
      </c>
      <c r="D24" s="4" t="inlineStr">
        <is>
          <t>AF-SN-0450</t>
        </is>
      </c>
      <c r="E24" s="4" t="inlineStr">
        <is>
          <t>ORD-T1181</t>
        </is>
      </c>
      <c r="F24" s="5" t="n">
        <v>8680</v>
      </c>
      <c r="G24" s="4" t="n">
        <v>1250</v>
      </c>
      <c r="H24" s="6">
        <f>F24/G24</f>
        <v/>
      </c>
      <c r="I24" s="7">
        <f>H24/8</f>
        <v/>
      </c>
      <c r="J24" s="4" t="n">
        <v>5</v>
      </c>
      <c r="K24" s="4" t="n">
        <v>5</v>
      </c>
      <c r="L24" s="4">
        <f>K24-J24</f>
        <v/>
      </c>
      <c r="M24" s="4" t="inlineStr"/>
    </row>
    <row r="25">
      <c r="A25" s="4" t="inlineStr">
        <is>
          <t>gio 21/05</t>
        </is>
      </c>
      <c r="B25" s="4" t="inlineStr">
        <is>
          <t>Linea 1</t>
        </is>
      </c>
      <c r="C25" s="4" t="inlineStr">
        <is>
          <t>T2</t>
        </is>
      </c>
      <c r="D25" s="4" t="inlineStr">
        <is>
          <t>AF-FC-0330</t>
        </is>
      </c>
      <c r="E25" s="4" t="inlineStr">
        <is>
          <t>ORD-T1480</t>
        </is>
      </c>
      <c r="F25" s="5" t="n">
        <v>7020</v>
      </c>
      <c r="G25" s="4" t="n">
        <v>1250</v>
      </c>
      <c r="H25" s="6">
        <f>F25/G25</f>
        <v/>
      </c>
      <c r="I25" s="7">
        <f>H25/8</f>
        <v/>
      </c>
      <c r="J25" s="4" t="n">
        <v>5</v>
      </c>
      <c r="K25" s="4" t="n">
        <v>5</v>
      </c>
      <c r="L25" s="4">
        <f>K25-J25</f>
        <v/>
      </c>
      <c r="M25" s="4" t="inlineStr"/>
    </row>
    <row r="26">
      <c r="A26" s="4" t="inlineStr">
        <is>
          <t>gio 21/05</t>
        </is>
      </c>
      <c r="B26" s="4" t="inlineStr">
        <is>
          <t>Linea 2</t>
        </is>
      </c>
      <c r="C26" s="4" t="inlineStr">
        <is>
          <t>T1</t>
        </is>
      </c>
      <c r="D26" s="4" t="inlineStr">
        <is>
          <t>AF-CR-0215</t>
        </is>
      </c>
      <c r="E26" s="4" t="inlineStr">
        <is>
          <t>ORD-T1283</t>
        </is>
      </c>
      <c r="F26" s="5" t="n">
        <v>3940</v>
      </c>
      <c r="G26" s="4" t="n">
        <v>780</v>
      </c>
      <c r="H26" s="6">
        <f>F26/G26</f>
        <v/>
      </c>
      <c r="I26" s="7">
        <f>H26/8</f>
        <v/>
      </c>
      <c r="J26" s="4" t="n">
        <v>7</v>
      </c>
      <c r="K26" s="4" t="n">
        <v>7</v>
      </c>
      <c r="L26" s="4">
        <f>K26-J26</f>
        <v/>
      </c>
      <c r="M26" s="4" t="inlineStr"/>
    </row>
    <row r="27">
      <c r="A27" s="4" t="inlineStr">
        <is>
          <t>gio 21/05</t>
        </is>
      </c>
      <c r="B27" s="4" t="inlineStr">
        <is>
          <t>Linea 2</t>
        </is>
      </c>
      <c r="C27" s="4" t="inlineStr">
        <is>
          <t>T2</t>
        </is>
      </c>
      <c r="D27" s="4" t="inlineStr">
        <is>
          <t>AF-CR-0215</t>
        </is>
      </c>
      <c r="E27" s="4" t="inlineStr">
        <is>
          <t>ORD-T1261</t>
        </is>
      </c>
      <c r="F27" s="5" t="n">
        <v>4140</v>
      </c>
      <c r="G27" s="4" t="n">
        <v>780</v>
      </c>
      <c r="H27" s="6">
        <f>F27/G27</f>
        <v/>
      </c>
      <c r="I27" s="7">
        <f>H27/8</f>
        <v/>
      </c>
      <c r="J27" s="4" t="n">
        <v>7</v>
      </c>
      <c r="K27" s="4" t="n">
        <v>7</v>
      </c>
      <c r="L27" s="4">
        <f>K27-J27</f>
        <v/>
      </c>
      <c r="M27" s="4" t="inlineStr"/>
    </row>
    <row r="28">
      <c r="A28" s="4" t="inlineStr">
        <is>
          <t>gio 21/05</t>
        </is>
      </c>
      <c r="B28" s="4" t="inlineStr">
        <is>
          <t>Linea 2</t>
        </is>
      </c>
      <c r="C28" s="4" t="inlineStr">
        <is>
          <t>T3</t>
        </is>
      </c>
      <c r="D28" s="4" t="inlineStr">
        <is>
          <t>AF-CR-0215</t>
        </is>
      </c>
      <c r="E28" s="4" t="inlineStr">
        <is>
          <t>ORD-T1403</t>
        </is>
      </c>
      <c r="F28" s="5" t="n">
        <v>7520</v>
      </c>
      <c r="G28" s="4" t="n">
        <v>780</v>
      </c>
      <c r="H28" s="6">
        <f>F28/G28</f>
        <v/>
      </c>
      <c r="I28" s="7">
        <f>H28/8</f>
        <v/>
      </c>
      <c r="J28" s="4" t="n">
        <v>7</v>
      </c>
      <c r="K28" s="4" t="n">
        <v>7</v>
      </c>
      <c r="L28" s="4">
        <f>K28-J28</f>
        <v/>
      </c>
      <c r="M28" s="4" t="inlineStr"/>
    </row>
    <row r="29">
      <c r="A29" s="4" t="inlineStr">
        <is>
          <t>gio 21/05</t>
        </is>
      </c>
      <c r="B29" s="4" t="inlineStr">
        <is>
          <t>Linea 3</t>
        </is>
      </c>
      <c r="C29" s="4" t="inlineStr">
        <is>
          <t>T1</t>
        </is>
      </c>
      <c r="D29" s="4" t="inlineStr">
        <is>
          <t>AF-CR-0212</t>
        </is>
      </c>
      <c r="E29" s="4" t="inlineStr">
        <is>
          <t>ORD-T1356</t>
        </is>
      </c>
      <c r="F29" s="5" t="n">
        <v>3440</v>
      </c>
      <c r="G29" s="4" t="n">
        <v>640</v>
      </c>
      <c r="H29" s="6">
        <f>F29/G29</f>
        <v/>
      </c>
      <c r="I29" s="7">
        <f>H29/8</f>
        <v/>
      </c>
      <c r="J29" s="4" t="n">
        <v>4</v>
      </c>
      <c r="K29" s="4" t="n">
        <v>4</v>
      </c>
      <c r="L29" s="4">
        <f>K29-J29</f>
        <v/>
      </c>
      <c r="M29" s="4" t="inlineStr"/>
    </row>
    <row r="30">
      <c r="A30" s="4" t="inlineStr">
        <is>
          <t>ven 22/05</t>
        </is>
      </c>
      <c r="B30" s="4" t="inlineStr">
        <is>
          <t>Linea 1</t>
        </is>
      </c>
      <c r="C30" s="4" t="inlineStr">
        <is>
          <t>T1</t>
        </is>
      </c>
      <c r="D30" s="4" t="inlineStr">
        <is>
          <t>AF-SN-0450</t>
        </is>
      </c>
      <c r="E30" s="4" t="inlineStr">
        <is>
          <t>ORD-T1270</t>
        </is>
      </c>
      <c r="F30" s="5" t="n">
        <v>3820</v>
      </c>
      <c r="G30" s="4" t="n">
        <v>1250</v>
      </c>
      <c r="H30" s="6">
        <f>F30/G30</f>
        <v/>
      </c>
      <c r="I30" s="7">
        <f>H30/8</f>
        <v/>
      </c>
      <c r="J30" s="4" t="n">
        <v>5</v>
      </c>
      <c r="K30" s="4" t="n">
        <v>5</v>
      </c>
      <c r="L30" s="4">
        <f>K30-J30</f>
        <v/>
      </c>
      <c r="M30" s="4" t="inlineStr"/>
    </row>
    <row r="31">
      <c r="A31" s="4" t="inlineStr">
        <is>
          <t>ven 22/05</t>
        </is>
      </c>
      <c r="B31" s="4" t="inlineStr">
        <is>
          <t>Linea 1</t>
        </is>
      </c>
      <c r="C31" s="4" t="inlineStr">
        <is>
          <t>T2</t>
        </is>
      </c>
      <c r="D31" s="4" t="inlineStr">
        <is>
          <t>AF-SN-0450</t>
        </is>
      </c>
      <c r="E31" s="4" t="inlineStr">
        <is>
          <t>ORD-T1326</t>
        </is>
      </c>
      <c r="F31" s="5" t="n">
        <v>3500</v>
      </c>
      <c r="G31" s="4" t="n">
        <v>1250</v>
      </c>
      <c r="H31" s="6">
        <f>F31/G31</f>
        <v/>
      </c>
      <c r="I31" s="7">
        <f>H31/8</f>
        <v/>
      </c>
      <c r="J31" s="4" t="n">
        <v>5</v>
      </c>
      <c r="K31" s="4" t="n">
        <v>5</v>
      </c>
      <c r="L31" s="4">
        <f>K31-J31</f>
        <v/>
      </c>
      <c r="M31" s="4" t="inlineStr"/>
    </row>
    <row r="32">
      <c r="A32" s="4" t="inlineStr">
        <is>
          <t>ven 22/05</t>
        </is>
      </c>
      <c r="B32" s="4" t="inlineStr">
        <is>
          <t>Linea 2</t>
        </is>
      </c>
      <c r="C32" s="4" t="inlineStr">
        <is>
          <t>T1</t>
        </is>
      </c>
      <c r="D32" s="4" t="inlineStr">
        <is>
          <t>AF-CR-0215</t>
        </is>
      </c>
      <c r="E32" s="4" t="inlineStr">
        <is>
          <t>ORD-T1490</t>
        </is>
      </c>
      <c r="F32" s="5" t="n">
        <v>5200</v>
      </c>
      <c r="G32" s="4" t="n">
        <v>780</v>
      </c>
      <c r="H32" s="6">
        <f>F32/G32</f>
        <v/>
      </c>
      <c r="I32" s="7">
        <f>H32/8</f>
        <v/>
      </c>
      <c r="J32" s="4" t="n">
        <v>7</v>
      </c>
      <c r="K32" s="4" t="n">
        <v>7</v>
      </c>
      <c r="L32" s="4">
        <f>K32-J32</f>
        <v/>
      </c>
      <c r="M32" s="4" t="inlineStr"/>
    </row>
    <row r="33">
      <c r="A33" s="4" t="inlineStr">
        <is>
          <t>ven 22/05</t>
        </is>
      </c>
      <c r="B33" s="4" t="inlineStr">
        <is>
          <t>Linea 2</t>
        </is>
      </c>
      <c r="C33" s="4" t="inlineStr">
        <is>
          <t>T2</t>
        </is>
      </c>
      <c r="D33" s="4" t="inlineStr">
        <is>
          <t>AF-CR-0215</t>
        </is>
      </c>
      <c r="E33" s="4" t="inlineStr">
        <is>
          <t>ORD-T1426</t>
        </is>
      </c>
      <c r="F33" s="5" t="n">
        <v>9000</v>
      </c>
      <c r="G33" s="4" t="n">
        <v>780</v>
      </c>
      <c r="H33" s="6">
        <f>F33/G33</f>
        <v/>
      </c>
      <c r="I33" s="7">
        <f>H33/8</f>
        <v/>
      </c>
      <c r="J33" s="4" t="n">
        <v>7</v>
      </c>
      <c r="K33" s="4" t="n">
        <v>7</v>
      </c>
      <c r="L33" s="4">
        <f>K33-J33</f>
        <v/>
      </c>
      <c r="M33" s="4" t="inlineStr"/>
    </row>
    <row r="34">
      <c r="A34" s="4" t="inlineStr">
        <is>
          <t>ven 22/05</t>
        </is>
      </c>
      <c r="B34" s="4" t="inlineStr">
        <is>
          <t>Linea 2</t>
        </is>
      </c>
      <c r="C34" s="4" t="inlineStr">
        <is>
          <t>T3</t>
        </is>
      </c>
      <c r="D34" s="4" t="inlineStr">
        <is>
          <t>AF-CR-0215</t>
        </is>
      </c>
      <c r="E34" s="4" t="inlineStr">
        <is>
          <t>ORD-T1128</t>
        </is>
      </c>
      <c r="F34" s="5" t="n">
        <v>7480</v>
      </c>
      <c r="G34" s="4" t="n">
        <v>780</v>
      </c>
      <c r="H34" s="6">
        <f>F34/G34</f>
        <v/>
      </c>
      <c r="I34" s="7">
        <f>H34/8</f>
        <v/>
      </c>
      <c r="J34" s="4" t="n">
        <v>7</v>
      </c>
      <c r="K34" s="4" t="n">
        <v>7</v>
      </c>
      <c r="L34" s="4">
        <f>K34-J34</f>
        <v/>
      </c>
      <c r="M34" s="4" t="inlineStr"/>
    </row>
    <row r="35">
      <c r="A35" s="4" t="inlineStr">
        <is>
          <t>ven 22/05</t>
        </is>
      </c>
      <c r="B35" s="4" t="inlineStr">
        <is>
          <t>Linea 3</t>
        </is>
      </c>
      <c r="C35" s="4" t="inlineStr">
        <is>
          <t>T1</t>
        </is>
      </c>
      <c r="D35" s="4" t="inlineStr">
        <is>
          <t>AF-CR-0212</t>
        </is>
      </c>
      <c r="E35" s="4" t="inlineStr">
        <is>
          <t>ORD-T1187</t>
        </is>
      </c>
      <c r="F35" s="5" t="n">
        <v>8000</v>
      </c>
      <c r="G35" s="4" t="n">
        <v>640</v>
      </c>
      <c r="H35" s="6">
        <f>F35/G35</f>
        <v/>
      </c>
      <c r="I35" s="7">
        <f>H35/8</f>
        <v/>
      </c>
      <c r="J35" s="4" t="n">
        <v>4</v>
      </c>
      <c r="K35" s="4" t="n">
        <v>4</v>
      </c>
      <c r="L35" s="4">
        <f>K35-J35</f>
        <v/>
      </c>
      <c r="M35" s="4" t="inlineStr"/>
    </row>
    <row r="36">
      <c r="A36" s="4" t="inlineStr">
        <is>
          <t>sab 23/05</t>
        </is>
      </c>
      <c r="B36" s="4" t="inlineStr">
        <is>
          <t>Linea 1</t>
        </is>
      </c>
      <c r="C36" s="4" t="inlineStr">
        <is>
          <t>T1</t>
        </is>
      </c>
      <c r="D36" s="4" t="inlineStr">
        <is>
          <t>AF-SN-0450</t>
        </is>
      </c>
      <c r="E36" s="4" t="inlineStr">
        <is>
          <t>ORD-T1457</t>
        </is>
      </c>
      <c r="F36" s="5" t="n">
        <v>4340</v>
      </c>
      <c r="G36" s="4" t="n">
        <v>1250</v>
      </c>
      <c r="H36" s="6">
        <f>F36/G36</f>
        <v/>
      </c>
      <c r="I36" s="7">
        <f>H36/8</f>
        <v/>
      </c>
      <c r="J36" s="4" t="n">
        <v>5</v>
      </c>
      <c r="K36" s="4" t="n">
        <v>5</v>
      </c>
      <c r="L36" s="4">
        <f>K36-J36</f>
        <v/>
      </c>
      <c r="M36" s="4" t="inlineStr"/>
    </row>
    <row r="37">
      <c r="A37" s="4" t="inlineStr">
        <is>
          <t>sab 23/05</t>
        </is>
      </c>
      <c r="B37" s="4" t="inlineStr">
        <is>
          <t>Linea 1</t>
        </is>
      </c>
      <c r="C37" s="4" t="inlineStr">
        <is>
          <t>T2</t>
        </is>
      </c>
      <c r="D37" s="4" t="inlineStr">
        <is>
          <t>AF-SN-0450</t>
        </is>
      </c>
      <c r="E37" s="4" t="inlineStr">
        <is>
          <t>ORD-T1401</t>
        </is>
      </c>
      <c r="F37" s="5" t="n">
        <v>4040</v>
      </c>
      <c r="G37" s="4" t="n">
        <v>1250</v>
      </c>
      <c r="H37" s="6">
        <f>F37/G37</f>
        <v/>
      </c>
      <c r="I37" s="7">
        <f>H37/8</f>
        <v/>
      </c>
      <c r="J37" s="4" t="n">
        <v>5</v>
      </c>
      <c r="K37" s="4" t="n">
        <v>5</v>
      </c>
      <c r="L37" s="4">
        <f>K37-J37</f>
        <v/>
      </c>
      <c r="M37" s="4" t="inlineStr"/>
    </row>
    <row r="38">
      <c r="A38" s="4" t="inlineStr">
        <is>
          <t>sab 23/05</t>
        </is>
      </c>
      <c r="B38" s="4" t="inlineStr">
        <is>
          <t>Linea 2</t>
        </is>
      </c>
      <c r="C38" s="4" t="inlineStr">
        <is>
          <t>T1</t>
        </is>
      </c>
      <c r="D38" s="4" t="inlineStr">
        <is>
          <t>AF-CR-0215</t>
        </is>
      </c>
      <c r="E38" s="4" t="inlineStr">
        <is>
          <t>ORD-T1370</t>
        </is>
      </c>
      <c r="F38" s="5" t="n">
        <v>5080</v>
      </c>
      <c r="G38" s="4" t="n">
        <v>780</v>
      </c>
      <c r="H38" s="6">
        <f>F38/G38</f>
        <v/>
      </c>
      <c r="I38" s="7">
        <f>H38/8</f>
        <v/>
      </c>
      <c r="J38" s="4" t="n">
        <v>7</v>
      </c>
      <c r="K38" s="4" t="n">
        <v>7</v>
      </c>
      <c r="L38" s="4">
        <f>K38-J38</f>
        <v/>
      </c>
      <c r="M38" s="4" t="inlineStr"/>
    </row>
    <row r="39">
      <c r="A39" s="4" t="inlineStr">
        <is>
          <t>sab 23/05</t>
        </is>
      </c>
      <c r="B39" s="4" t="inlineStr">
        <is>
          <t>Linea 2</t>
        </is>
      </c>
      <c r="C39" s="4" t="inlineStr">
        <is>
          <t>T2</t>
        </is>
      </c>
      <c r="D39" s="4" t="inlineStr">
        <is>
          <t>AF-CR-0215</t>
        </is>
      </c>
      <c r="E39" s="4" t="inlineStr">
        <is>
          <t>ORD-T1137</t>
        </is>
      </c>
      <c r="F39" s="5" t="n">
        <v>5800</v>
      </c>
      <c r="G39" s="4" t="n">
        <v>780</v>
      </c>
      <c r="H39" s="6">
        <f>F39/G39</f>
        <v/>
      </c>
      <c r="I39" s="7">
        <f>H39/8</f>
        <v/>
      </c>
      <c r="J39" s="4" t="n">
        <v>7</v>
      </c>
      <c r="K39" s="4" t="n">
        <v>7</v>
      </c>
      <c r="L39" s="4">
        <f>K39-J39</f>
        <v/>
      </c>
      <c r="M39" s="4" t="inlineStr"/>
    </row>
    <row r="40">
      <c r="A40" s="4" t="inlineStr">
        <is>
          <t>sab 23/05</t>
        </is>
      </c>
      <c r="B40" s="4" t="inlineStr">
        <is>
          <t>Linea 2</t>
        </is>
      </c>
      <c r="C40" s="4" t="inlineStr">
        <is>
          <t>T3</t>
        </is>
      </c>
      <c r="D40" s="4" t="inlineStr">
        <is>
          <t>AF-CR-0215</t>
        </is>
      </c>
      <c r="E40" s="4" t="inlineStr">
        <is>
          <t>ORD-T1316</t>
        </is>
      </c>
      <c r="F40" s="5" t="n">
        <v>7760</v>
      </c>
      <c r="G40" s="4" t="n">
        <v>780</v>
      </c>
      <c r="H40" s="6">
        <f>F40/G40</f>
        <v/>
      </c>
      <c r="I40" s="7">
        <f>H40/8</f>
        <v/>
      </c>
      <c r="J40" s="4" t="n">
        <v>7</v>
      </c>
      <c r="K40" s="4" t="n">
        <v>7</v>
      </c>
      <c r="L40" s="4">
        <f>K40-J40</f>
        <v/>
      </c>
      <c r="M40" s="4" t="inlineStr"/>
    </row>
    <row r="41">
      <c r="A41" s="4" t="inlineStr">
        <is>
          <t>sab 23/05</t>
        </is>
      </c>
      <c r="B41" s="4" t="inlineStr">
        <is>
          <t>Linea 3</t>
        </is>
      </c>
      <c r="C41" s="4" t="inlineStr">
        <is>
          <t>T1</t>
        </is>
      </c>
      <c r="D41" s="4" t="inlineStr">
        <is>
          <t>AF-CR-0212</t>
        </is>
      </c>
      <c r="E41" s="4" t="inlineStr">
        <is>
          <t>ORD-T1378</t>
        </is>
      </c>
      <c r="F41" s="5" t="n">
        <v>7240</v>
      </c>
      <c r="G41" s="4" t="n">
        <v>640</v>
      </c>
      <c r="H41" s="6">
        <f>F41/G41</f>
        <v/>
      </c>
      <c r="I41" s="7">
        <f>H41/8</f>
        <v/>
      </c>
      <c r="J41" s="4" t="n">
        <v>4</v>
      </c>
      <c r="K41" s="4" t="n">
        <v>4</v>
      </c>
      <c r="L41" s="4">
        <f>K41-J41</f>
        <v/>
      </c>
      <c r="M41" s="4" t="inlineStr"/>
    </row>
    <row r="42">
      <c r="A42" s="8" t="inlineStr">
        <is>
          <t>dom 24/05</t>
        </is>
      </c>
      <c r="B42" s="8" t="inlineStr">
        <is>
          <t>Linea 2</t>
        </is>
      </c>
      <c r="C42" s="8" t="inlineStr">
        <is>
          <t>T1</t>
        </is>
      </c>
      <c r="D42" s="8" t="inlineStr">
        <is>
          <t>AF-CR-0215</t>
        </is>
      </c>
      <c r="E42" s="8" t="inlineStr">
        <is>
          <t>ORD-T1416</t>
        </is>
      </c>
      <c r="F42" s="9" t="n">
        <v>6520</v>
      </c>
      <c r="G42" s="8" t="n">
        <v>780</v>
      </c>
      <c r="H42" s="10">
        <f>F42/G42</f>
        <v/>
      </c>
      <c r="I42" s="11">
        <f>H42/8</f>
        <v/>
      </c>
      <c r="J42" s="8" t="n">
        <v>7</v>
      </c>
      <c r="K42" s="8" t="n">
        <v>4</v>
      </c>
      <c r="L42" s="8">
        <f>K42-J42</f>
        <v/>
      </c>
      <c r="M42" s="8" t="inlineStr">
        <is>
          <t>DOMENICA - maggiorazione festiva, personale su base volontaria</t>
        </is>
      </c>
    </row>
    <row r="43">
      <c r="A43" s="8" t="inlineStr">
        <is>
          <t>dom 24/05</t>
        </is>
      </c>
      <c r="B43" s="8" t="inlineStr">
        <is>
          <t>Linea 2</t>
        </is>
      </c>
      <c r="C43" s="8" t="inlineStr">
        <is>
          <t>T2</t>
        </is>
      </c>
      <c r="D43" s="8" t="inlineStr">
        <is>
          <t>AF-CR-0215</t>
        </is>
      </c>
      <c r="E43" s="8" t="inlineStr">
        <is>
          <t>ORD-T1438</t>
        </is>
      </c>
      <c r="F43" s="9" t="n">
        <v>4320</v>
      </c>
      <c r="G43" s="8" t="n">
        <v>780</v>
      </c>
      <c r="H43" s="10">
        <f>F43/G43</f>
        <v/>
      </c>
      <c r="I43" s="11">
        <f>H43/8</f>
        <v/>
      </c>
      <c r="J43" s="8" t="n">
        <v>7</v>
      </c>
      <c r="K43" s="8" t="n">
        <v>4</v>
      </c>
      <c r="L43" s="8">
        <f>K43-J43</f>
        <v/>
      </c>
      <c r="M43" s="8" t="inlineStr">
        <is>
          <t>DOMENICA - maggiorazione festiva, personale su base volontaria</t>
        </is>
      </c>
    </row>
    <row r="45">
      <c r="A45" s="12" t="inlineStr">
        <is>
          <t>totale pz settimana</t>
        </is>
      </c>
      <c r="F45" s="13">
        <f>SUM(F6:F43)</f>
        <v/>
      </c>
    </row>
    <row r="46">
      <c r="A46" s="12" t="inlineStr">
        <is>
          <t>ore macchina totali</t>
        </is>
      </c>
      <c r="H46" s="14">
        <f>SUM(H6:H43)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7" customWidth="1" min="3" max="3"/>
    <col width="22" customWidth="1" min="4" max="4"/>
    <col width="14" customWidth="1" min="5" max="5"/>
    <col width="13" customWidth="1" min="6" max="6"/>
    <col width="12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Fabbisogno materie prime calcolato dal piano - settimane 19-21</t>
        </is>
      </c>
    </row>
    <row r="5" ht="28" customHeight="1">
      <c r="A5" s="3" t="inlineStr">
        <is>
          <t>Materia prima</t>
        </is>
      </c>
      <c r="B5" s="3" t="inlineStr">
        <is>
          <t>Fornitore</t>
        </is>
      </c>
      <c r="C5" s="3" t="inlineStr">
        <is>
          <t>UM</t>
        </is>
      </c>
      <c r="D5" s="3" t="inlineStr">
        <is>
          <t>Consumo unit. (per 1000 pz)</t>
        </is>
      </c>
      <c r="E5" s="3" t="inlineStr">
        <is>
          <t>Pz pianificati</t>
        </is>
      </c>
      <c r="F5" s="3" t="inlineStr">
        <is>
          <t>Fabbisogno</t>
        </is>
      </c>
      <c r="G5" s="3" t="inlineStr">
        <is>
          <t>Giacenza</t>
        </is>
      </c>
      <c r="H5" s="3" t="inlineStr">
        <is>
          <t>Da ordinare</t>
        </is>
      </c>
      <c r="I5" s="3" t="inlineStr">
        <is>
          <t>Lead time gg</t>
        </is>
      </c>
      <c r="J5" s="3" t="inlineStr">
        <is>
          <t>Ordine entro</t>
        </is>
      </c>
    </row>
    <row r="6">
      <c r="A6" s="4" t="inlineStr">
        <is>
          <t>Farina tipo 0 W300</t>
        </is>
      </c>
      <c r="B6" s="4" t="inlineStr">
        <is>
          <t>Molino Veneto SpA</t>
        </is>
      </c>
      <c r="C6" s="4" t="inlineStr">
        <is>
          <t>kg</t>
        </is>
      </c>
      <c r="D6" s="4" t="n">
        <v>112</v>
      </c>
      <c r="E6" s="4">
        <f>SUM('Sett 19'!F:F)+SUM('Sett 20'!F:F)+SUM('Sett 21'!F:F)</f>
        <v/>
      </c>
      <c r="F6" s="16">
        <f>E6/1000*D6</f>
        <v/>
      </c>
      <c r="G6" s="4" t="n">
        <v>18400</v>
      </c>
      <c r="H6" s="16">
        <f>MAX(0,F6-G6)</f>
        <v/>
      </c>
      <c r="I6" s="4" t="n">
        <v>3</v>
      </c>
      <c r="J6" s="4" t="inlineStr">
        <is>
          <t>29/04/2026</t>
        </is>
      </c>
    </row>
    <row r="7">
      <c r="A7" s="4" t="inlineStr">
        <is>
          <t>Farina tipo 00</t>
        </is>
      </c>
      <c r="B7" s="4" t="inlineStr">
        <is>
          <t>Molino Veneto SpA</t>
        </is>
      </c>
      <c r="C7" s="4" t="inlineStr">
        <is>
          <t>kg</t>
        </is>
      </c>
      <c r="D7" s="4" t="n">
        <v>64.5</v>
      </c>
      <c r="E7" s="4">
        <f>SUM('Sett 19'!F:F)+SUM('Sett 20'!F:F)+SUM('Sett 21'!F:F)</f>
        <v/>
      </c>
      <c r="F7" s="16">
        <f>E7/1000*D7</f>
        <v/>
      </c>
      <c r="G7" s="4" t="n">
        <v>9200</v>
      </c>
      <c r="H7" s="16">
        <f>MAX(0,F7-G7)</f>
        <v/>
      </c>
      <c r="I7" s="4" t="n">
        <v>3</v>
      </c>
      <c r="J7" s="4" t="inlineStr">
        <is>
          <t>29/04/2026</t>
        </is>
      </c>
    </row>
    <row r="8">
      <c r="A8" s="4" t="inlineStr">
        <is>
          <t>Olio girasole alto oleico</t>
        </is>
      </c>
      <c r="B8" s="4" t="inlineStr">
        <is>
          <t>Oleificio Adriatico SpA</t>
        </is>
      </c>
      <c r="C8" s="4" t="inlineStr">
        <is>
          <t>kg</t>
        </is>
      </c>
      <c r="D8" s="4" t="n">
        <v>18.2</v>
      </c>
      <c r="E8" s="4">
        <f>SUM('Sett 19'!F:F)+SUM('Sett 20'!F:F)+SUM('Sett 21'!F:F)</f>
        <v/>
      </c>
      <c r="F8" s="16">
        <f>E8/1000*D8</f>
        <v/>
      </c>
      <c r="G8" s="4" t="n">
        <v>1850</v>
      </c>
      <c r="H8" s="16">
        <f>MAX(0,F8-G8)</f>
        <v/>
      </c>
      <c r="I8" s="4" t="n">
        <v>7</v>
      </c>
      <c r="J8" s="4" t="inlineStr">
        <is>
          <t>25/04/2026</t>
        </is>
      </c>
    </row>
    <row r="9">
      <c r="A9" s="4" t="inlineStr">
        <is>
          <t>Burro 82%</t>
        </is>
      </c>
      <c r="B9" s="4" t="inlineStr">
        <is>
          <t>Latteria Bassanese</t>
        </is>
      </c>
      <c r="C9" s="4" t="inlineStr">
        <is>
          <t>kg</t>
        </is>
      </c>
      <c r="D9" s="4" t="n">
        <v>41</v>
      </c>
      <c r="E9" s="4">
        <f>SUM('Sett 19'!F:F)+SUM('Sett 20'!F:F)+SUM('Sett 21'!F:F)</f>
        <v/>
      </c>
      <c r="F9" s="16">
        <f>E9/1000*D9</f>
        <v/>
      </c>
      <c r="G9" s="4" t="n">
        <v>2100</v>
      </c>
      <c r="H9" s="16">
        <f>MAX(0,F9-G9)</f>
        <v/>
      </c>
      <c r="I9" s="4" t="n">
        <v>2</v>
      </c>
      <c r="J9" s="4" t="inlineStr">
        <is>
          <t>04/05/2026</t>
        </is>
      </c>
    </row>
    <row r="10">
      <c r="A10" s="4" t="inlineStr">
        <is>
          <t>Lievito compresso</t>
        </is>
      </c>
      <c r="B10" s="4" t="inlineStr">
        <is>
          <t>Lievital Srl</t>
        </is>
      </c>
      <c r="C10" s="4" t="inlineStr">
        <is>
          <t>kg</t>
        </is>
      </c>
      <c r="D10" s="4" t="n">
        <v>4.8</v>
      </c>
      <c r="E10" s="4">
        <f>SUM('Sett 19'!F:F)+SUM('Sett 20'!F:F)+SUM('Sett 21'!F:F)</f>
        <v/>
      </c>
      <c r="F10" s="16">
        <f>E10/1000*D10</f>
        <v/>
      </c>
      <c r="G10" s="4" t="n">
        <v>180</v>
      </c>
      <c r="H10" s="16">
        <f>MAX(0,F10-G10)</f>
        <v/>
      </c>
      <c r="I10" s="4" t="n">
        <v>2</v>
      </c>
      <c r="J10" s="4" t="inlineStr">
        <is>
          <t>05/05/2026</t>
        </is>
      </c>
    </row>
    <row r="11">
      <c r="A11" s="4" t="inlineStr">
        <is>
          <t>Zucchero</t>
        </is>
      </c>
      <c r="B11" s="4" t="inlineStr">
        <is>
          <t>Zuccherificio Padano Srl</t>
        </is>
      </c>
      <c r="C11" s="4" t="inlineStr">
        <is>
          <t>kg</t>
        </is>
      </c>
      <c r="D11" s="4" t="n">
        <v>9.1</v>
      </c>
      <c r="E11" s="4">
        <f>SUM('Sett 19'!F:F)+SUM('Sett 20'!F:F)+SUM('Sett 21'!F:F)</f>
        <v/>
      </c>
      <c r="F11" s="16">
        <f>E11/1000*D11</f>
        <v/>
      </c>
      <c r="G11" s="4" t="n">
        <v>1400</v>
      </c>
      <c r="H11" s="16">
        <f>MAX(0,F11-G11)</f>
        <v/>
      </c>
      <c r="I11" s="4" t="n">
        <v>5</v>
      </c>
      <c r="J11" s="4" t="inlineStr">
        <is>
          <t>01/05/2026</t>
        </is>
      </c>
    </row>
    <row r="12">
      <c r="A12" s="4" t="inlineStr">
        <is>
          <t>Semi misti tostati</t>
        </is>
      </c>
      <c r="B12" s="4" t="inlineStr">
        <is>
          <t>fornitore terzo</t>
        </is>
      </c>
      <c r="C12" s="4" t="inlineStr">
        <is>
          <t>kg</t>
        </is>
      </c>
      <c r="D12" s="4" t="n">
        <v>3.4</v>
      </c>
      <c r="E12" s="4">
        <f>SUM('Sett 19'!F:F)+SUM('Sett 20'!F:F)+SUM('Sett 21'!F:F)</f>
        <v/>
      </c>
      <c r="F12" s="16">
        <f>E12/1000*D12</f>
        <v/>
      </c>
      <c r="G12" s="4" t="n">
        <v>290</v>
      </c>
      <c r="H12" s="16">
        <f>MAX(0,F12-G12)</f>
        <v/>
      </c>
      <c r="I12" s="4" t="n">
        <v>10</v>
      </c>
      <c r="J12" s="4" t="inlineStr">
        <is>
          <t>20/04/2026</t>
        </is>
      </c>
    </row>
    <row r="13">
      <c r="A13" s="4" t="inlineStr">
        <is>
          <t>Film MAP PP/EVOH</t>
        </is>
      </c>
      <c r="B13" s="4" t="inlineStr">
        <is>
          <t>Flexipack Nordest Srl</t>
        </is>
      </c>
      <c r="C13" s="4" t="inlineStr">
        <is>
          <t>kg</t>
        </is>
      </c>
      <c r="D13" s="4" t="n">
        <v>7.9</v>
      </c>
      <c r="E13" s="4">
        <f>SUM('Sett 19'!F:F)+SUM('Sett 20'!F:F)+SUM('Sett 21'!F:F)</f>
        <v/>
      </c>
      <c r="F13" s="16">
        <f>E13/1000*D13</f>
        <v/>
      </c>
      <c r="G13" s="4" t="n">
        <v>640</v>
      </c>
      <c r="H13" s="16">
        <f>MAX(0,F13-G13)</f>
        <v/>
      </c>
      <c r="I13" s="4" t="n">
        <v>15</v>
      </c>
      <c r="J13" s="4" t="inlineStr">
        <is>
          <t>15/04/2026</t>
        </is>
      </c>
    </row>
    <row r="14">
      <c r="A14" s="4" t="inlineStr">
        <is>
          <t>Vaschette PP 100 g</t>
        </is>
      </c>
      <c r="B14" s="4" t="inlineStr">
        <is>
          <t>Flexipack Nordest Srl</t>
        </is>
      </c>
      <c r="C14" s="4" t="inlineStr">
        <is>
          <t>pz</t>
        </is>
      </c>
      <c r="D14" s="4" t="n">
        <v>1000</v>
      </c>
      <c r="E14" s="4">
        <f>SUM('Sett 19'!F:F)+SUM('Sett 20'!F:F)+SUM('Sett 21'!F:F)</f>
        <v/>
      </c>
      <c r="F14" s="16">
        <f>E14/1000*D14</f>
        <v/>
      </c>
      <c r="G14" s="4" t="n">
        <v>42000</v>
      </c>
      <c r="H14" s="16">
        <f>MAX(0,F14-G14)</f>
        <v/>
      </c>
      <c r="I14" s="4" t="n">
        <v>15</v>
      </c>
      <c r="J14" s="4" t="inlineStr">
        <is>
          <t>15/04/2026</t>
        </is>
      </c>
    </row>
    <row r="15">
      <c r="A15" s="4" t="inlineStr">
        <is>
          <t>Cartone ondulato</t>
        </is>
      </c>
      <c r="B15" s="4" t="inlineStr">
        <is>
          <t>Rational Pack Srl</t>
        </is>
      </c>
      <c r="C15" s="4" t="inlineStr">
        <is>
          <t>pz</t>
        </is>
      </c>
      <c r="D15" s="4" t="n">
        <v>84</v>
      </c>
      <c r="E15" s="4">
        <f>SUM('Sett 19'!F:F)+SUM('Sett 20'!F:F)+SUM('Sett 21'!F:F)</f>
        <v/>
      </c>
      <c r="F15" s="16">
        <f>E15/1000*D15</f>
        <v/>
      </c>
      <c r="G15" s="4" t="n">
        <v>9800</v>
      </c>
      <c r="H15" s="16">
        <f>MAX(0,F15-G15)</f>
        <v/>
      </c>
      <c r="I15" s="4" t="n">
        <v>7</v>
      </c>
      <c r="J15" s="4" t="inlineStr">
        <is>
          <t>27/04/2026</t>
        </is>
      </c>
    </row>
    <row r="16">
      <c r="A16" s="4" t="inlineStr">
        <is>
          <t>Azoto alimentare E941</t>
        </is>
      </c>
      <c r="B16" s="4" t="inlineStr">
        <is>
          <t>Nordgas SpA</t>
        </is>
      </c>
      <c r="C16" s="4" t="inlineStr">
        <is>
          <t>m3</t>
        </is>
      </c>
      <c r="D16" s="4" t="n">
        <v>1.9</v>
      </c>
      <c r="E16" s="4">
        <f>SUM('Sett 19'!F:F)+SUM('Sett 20'!F:F)+SUM('Sett 21'!F:F)</f>
        <v/>
      </c>
      <c r="F16" s="16">
        <f>E16/1000*D16</f>
        <v/>
      </c>
      <c r="G16" s="4" t="n">
        <v>320</v>
      </c>
      <c r="H16" s="16">
        <f>MAX(0,F16-G16)</f>
        <v/>
      </c>
      <c r="I16" s="4" t="n">
        <v>4</v>
      </c>
      <c r="J16" s="4" t="inlineStr">
        <is>
          <t>03/05/2026</t>
        </is>
      </c>
    </row>
    <row r="18">
      <c r="A18" s="15" t="inlineStr">
        <is>
          <t>(N.F.) il film MAP ha lead time 15 gg e ne restano 4 bobine: se la promo si allunga siamo scoperti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Aurora Food Group S.r.l.</Company>
  <AppVersion>16.0300</AppVersion>
  <TotalTime>547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piano produzione settimanale sett19 21</dc:title>
  <dc:creator>Denis Zanella</dc:creator>
  <cp:lastModifiedBy>Marco Fantin</cp:lastModifiedBy>
  <cp:revision>19</cp:revision>
  <dc:description/>
  <dcterms:created xsi:type="dcterms:W3CDTF">2025-10-04T07:48:36Z</dcterms:created>
  <dcterms:modified xsi:type="dcterms:W3CDTF">2026-05-01T16:48:36Z</dcterms:modified>
  <cp:company>Aurora Food Group S.r.l.</cp:company>
</cp:coreProperties>
</file>