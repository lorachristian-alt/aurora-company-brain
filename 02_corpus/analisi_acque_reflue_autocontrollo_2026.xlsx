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rico finale" sheetId="1" state="visible" r:id="rId1"/>
    <sheet xmlns:r="http://schemas.openxmlformats.org/officeDocument/2006/relationships" name="Storico 2025" sheetId="2" state="visible" r:id="rId2"/>
    <sheet xmlns:r="http://schemas.openxmlformats.org/officeDocument/2006/relationships" name="Limiti" sheetId="3" state="visible" r:id="rId3"/>
    <sheet xmlns:r="http://schemas.openxmlformats.org/officeDocument/2006/relationships" name="Foglio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1F3864"/>
      <sz val="13"/>
    </font>
    <font>
      <name val="Calibri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6" customWidth="1" min="1" max="1"/>
    <col width="23" customWidth="1" min="2" max="2"/>
    <col width="24" customWidth="1" min="3" max="3"/>
    <col width="31" customWidth="1" min="4" max="4"/>
    <col width="31" customWidth="1" min="5" max="5"/>
    <col width="38" customWidth="1" min="6" max="6"/>
    <col width="31" customWidth="1" min="7" max="7"/>
    <col width="31" customWidth="1" min="8" max="8"/>
  </cols>
  <sheetData>
    <row r="1">
      <c r="A1" s="1" t="inlineStr">
        <is>
          <t>AURORA FOOD GROUP SRL - AUTOCONTROLLO SCARICO S1 (pubblica fognatura)</t>
        </is>
      </c>
    </row>
    <row r="2">
      <c r="A2" s="2" t="inlineStr">
        <is>
          <t>rif. AUA Det. Provincia di Verona n. 987/2019 - prescrizione A.5 punto 2 - frequenza trimestrale</t>
        </is>
      </c>
    </row>
    <row r="3">
      <c r="A3" s="2" t="inlineStr">
        <is>
          <t>Laboratorio: Analytica Veneta S.r.l. (VR) - accreditamento ACCREDIA n. 0987 - campione medio composito 3 ore</t>
        </is>
      </c>
    </row>
    <row r="4">
      <c r="A4" s="2" t="inlineStr">
        <is>
          <t>compilato da: S. Pozzato - verificato: E. Marchetti (RSGQ)</t>
        </is>
      </c>
    </row>
    <row r="5"/>
    <row r="6">
      <c r="A6" s="2" t="inlineStr">
        <is>
          <t>Parametro</t>
        </is>
      </c>
      <c r="B6" s="2" t="inlineStr">
        <is>
          <t>UM</t>
        </is>
      </c>
      <c r="C6" s="2" t="inlineStr">
        <is>
          <t>Limite Tab.3 fognatura</t>
        </is>
      </c>
      <c r="D6" s="2" t="inlineStr">
        <is>
          <t>RdP 2026/00412 del 15/01/2026</t>
        </is>
      </c>
      <c r="E6" s="2" t="inlineStr">
        <is>
          <t>RdP 2026/03188 del 19/03/2026</t>
        </is>
      </c>
      <c r="F6" s="2" t="inlineStr">
        <is>
          <t>RdP 2026/03840 ricampion. 02/04/2026</t>
        </is>
      </c>
      <c r="G6" s="2" t="inlineStr">
        <is>
          <t>RdP 2026/06122 del 08/06/2026</t>
        </is>
      </c>
      <c r="H6" s="2" t="inlineStr">
        <is>
          <t>Esito anno</t>
        </is>
      </c>
    </row>
    <row r="7">
      <c r="A7" s="2" t="inlineStr">
        <is>
          <t>pH</t>
        </is>
      </c>
      <c r="B7" s="2" t="inlineStr">
        <is>
          <t>unita' pH</t>
        </is>
      </c>
      <c r="C7" s="2" t="inlineStr">
        <is>
          <t>5,5 - 9,5</t>
        </is>
      </c>
      <c r="D7" s="2" t="n">
        <v>7.4</v>
      </c>
      <c r="E7" s="2" t="n">
        <v>6.9</v>
      </c>
      <c r="F7" s="2" t="n">
        <v>7.2</v>
      </c>
      <c r="G7" s="2" t="n">
        <v>7.6</v>
      </c>
      <c r="H7" s="2" t="inlineStr">
        <is>
          <t>conforme</t>
        </is>
      </c>
    </row>
    <row r="8">
      <c r="A8" s="2" t="inlineStr">
        <is>
          <t>Solidi sospesi totali</t>
        </is>
      </c>
      <c r="B8" s="2" t="inlineStr">
        <is>
          <t>mg/l</t>
        </is>
      </c>
      <c r="C8" s="2" t="n">
        <v>200</v>
      </c>
      <c r="D8" s="2" t="n">
        <v>84</v>
      </c>
      <c r="E8" s="2" t="n">
        <v>146</v>
      </c>
      <c r="F8" s="2" t="n">
        <v>92</v>
      </c>
      <c r="G8" s="2" t="n">
        <v>78</v>
      </c>
      <c r="H8" s="2" t="inlineStr">
        <is>
          <t>conforme</t>
        </is>
      </c>
    </row>
    <row r="9">
      <c r="A9" s="2" t="inlineStr">
        <is>
          <t>BOD5</t>
        </is>
      </c>
      <c r="B9" s="2" t="inlineStr">
        <is>
          <t>mg/l O2</t>
        </is>
      </c>
      <c r="C9" s="2" t="n">
        <v>250</v>
      </c>
      <c r="D9" s="2" t="n">
        <v>118</v>
      </c>
      <c r="E9" s="2" t="n">
        <v>196</v>
      </c>
      <c r="F9" s="2" t="n">
        <v>124</v>
      </c>
      <c r="G9" s="2" t="n">
        <v>102</v>
      </c>
      <c r="H9" s="2" t="inlineStr">
        <is>
          <t>conforme</t>
        </is>
      </c>
    </row>
    <row r="10">
      <c r="A10" s="2" t="inlineStr">
        <is>
          <t>COD</t>
        </is>
      </c>
      <c r="B10" s="2" t="inlineStr">
        <is>
          <t>mg/l O2</t>
        </is>
      </c>
      <c r="C10" s="2" t="n">
        <v>500</v>
      </c>
      <c r="D10" s="2" t="n">
        <v>246</v>
      </c>
      <c r="E10" s="2" t="n">
        <v>388</v>
      </c>
      <c r="F10" s="2" t="n">
        <v>255</v>
      </c>
      <c r="G10" s="2" t="n">
        <v>219</v>
      </c>
      <c r="H10" s="2" t="inlineStr">
        <is>
          <t>conforme</t>
        </is>
      </c>
    </row>
    <row r="11">
      <c r="A11" s="2" t="inlineStr">
        <is>
          <t>Azoto ammoniacale (NH4)</t>
        </is>
      </c>
      <c r="B11" s="2" t="inlineStr">
        <is>
          <t>mg/l</t>
        </is>
      </c>
      <c r="C11" s="2" t="n">
        <v>30</v>
      </c>
      <c r="D11" s="2" t="n">
        <v>6.2</v>
      </c>
      <c r="E11" s="2" t="n">
        <v>9.800000000000001</v>
      </c>
      <c r="F11" s="2" t="n">
        <v>7.1</v>
      </c>
      <c r="G11" s="2" t="n">
        <v>5.4</v>
      </c>
      <c r="H11" s="2" t="inlineStr">
        <is>
          <t>conforme</t>
        </is>
      </c>
    </row>
    <row r="12">
      <c r="A12" s="2" t="inlineStr">
        <is>
          <t>Azoto nitroso (N)</t>
        </is>
      </c>
      <c r="B12" s="2" t="inlineStr">
        <is>
          <t>mg/l</t>
        </is>
      </c>
      <c r="C12" s="2" t="inlineStr">
        <is>
          <t>0,6</t>
        </is>
      </c>
      <c r="D12" s="2" t="n">
        <v>0.08</v>
      </c>
      <c r="E12" s="2" t="n">
        <v>0.12</v>
      </c>
      <c r="F12" s="2" t="n">
        <v>0.09</v>
      </c>
      <c r="G12" s="2" t="n">
        <v>0.06</v>
      </c>
      <c r="H12" s="2" t="inlineStr">
        <is>
          <t>conforme</t>
        </is>
      </c>
    </row>
    <row r="13">
      <c r="A13" s="2" t="inlineStr">
        <is>
          <t>Azoto nitrico (N)</t>
        </is>
      </c>
      <c r="B13" s="2" t="inlineStr">
        <is>
          <t>mg/l</t>
        </is>
      </c>
      <c r="C13" s="2" t="n">
        <v>30</v>
      </c>
      <c r="D13" s="2" t="n">
        <v>3.1</v>
      </c>
      <c r="E13" s="2" t="n">
        <v>4.4</v>
      </c>
      <c r="F13" s="2" t="n">
        <v>3.6</v>
      </c>
      <c r="G13" s="2" t="n">
        <v>2.8</v>
      </c>
      <c r="H13" s="2" t="inlineStr">
        <is>
          <t>conforme</t>
        </is>
      </c>
    </row>
    <row r="14">
      <c r="A14" s="2" t="inlineStr">
        <is>
          <t>Fosforo totale (P)</t>
        </is>
      </c>
      <c r="B14" s="2" t="inlineStr">
        <is>
          <t>mg/l</t>
        </is>
      </c>
      <c r="C14" s="2" t="n">
        <v>10</v>
      </c>
      <c r="D14" s="2" t="n">
        <v>2.4</v>
      </c>
      <c r="E14" s="2" t="n">
        <v>4.1</v>
      </c>
      <c r="F14" s="2" t="n">
        <v>2.9</v>
      </c>
      <c r="G14" s="2" t="n">
        <v>2.2</v>
      </c>
      <c r="H14" s="2" t="inlineStr">
        <is>
          <t>conforme</t>
        </is>
      </c>
    </row>
    <row r="15">
      <c r="A15" s="2" t="inlineStr">
        <is>
          <t>Grassi e olii animali/vegetali</t>
        </is>
      </c>
      <c r="B15" s="2" t="inlineStr">
        <is>
          <t>mg/l</t>
        </is>
      </c>
      <c r="C15" s="2" t="n">
        <v>40</v>
      </c>
      <c r="D15" s="2" t="n">
        <v>22</v>
      </c>
      <c r="E15" s="2" t="n">
        <v>58</v>
      </c>
      <c r="F15" s="2" t="n">
        <v>31</v>
      </c>
      <c r="G15" s="2" t="n">
        <v>18</v>
      </c>
      <c r="H15" s="2" t="inlineStr">
        <is>
          <t>SUPERAMENTO 19/03 - rientrato</t>
        </is>
      </c>
    </row>
    <row r="16">
      <c r="A16" s="2" t="inlineStr">
        <is>
          <t>Idrocarburi totali</t>
        </is>
      </c>
      <c r="B16" s="2" t="inlineStr">
        <is>
          <t>mg/l</t>
        </is>
      </c>
      <c r="C16" s="2" t="n">
        <v>10</v>
      </c>
      <c r="D16" s="2" t="inlineStr">
        <is>
          <t>&lt;1</t>
        </is>
      </c>
      <c r="E16" s="2" t="n">
        <v>1.8</v>
      </c>
      <c r="F16" s="2" t="inlineStr">
        <is>
          <t>&lt;1</t>
        </is>
      </c>
      <c r="G16" s="2" t="inlineStr">
        <is>
          <t>&lt;1</t>
        </is>
      </c>
      <c r="H16" s="2" t="inlineStr">
        <is>
          <t>conforme</t>
        </is>
      </c>
    </row>
    <row r="17">
      <c r="A17" s="2" t="inlineStr">
        <is>
          <t>Tensioattivi totali</t>
        </is>
      </c>
      <c r="B17" s="2" t="inlineStr">
        <is>
          <t>mg/l</t>
        </is>
      </c>
      <c r="C17" s="2" t="n">
        <v>4</v>
      </c>
      <c r="D17" s="2" t="n">
        <v>1.2</v>
      </c>
      <c r="E17" s="2" t="n">
        <v>2.6</v>
      </c>
      <c r="F17" s="2" t="n">
        <v>1.4</v>
      </c>
      <c r="G17" s="2" t="n">
        <v>1.1</v>
      </c>
      <c r="H17" s="2" t="inlineStr">
        <is>
          <t>conforme</t>
        </is>
      </c>
    </row>
    <row r="18">
      <c r="A18" s="2" t="inlineStr">
        <is>
          <t>Cloro attivo libero</t>
        </is>
      </c>
      <c r="B18" s="2" t="inlineStr">
        <is>
          <t>mg/l</t>
        </is>
      </c>
      <c r="C18" s="2" t="inlineStr">
        <is>
          <t>0,3</t>
        </is>
      </c>
      <c r="D18" s="2" t="inlineStr">
        <is>
          <t>&lt;0,05</t>
        </is>
      </c>
      <c r="E18" s="2" t="inlineStr">
        <is>
          <t>&lt;0,05</t>
        </is>
      </c>
      <c r="F18" s="2" t="inlineStr">
        <is>
          <t>&lt;0,05</t>
        </is>
      </c>
      <c r="G18" s="2" t="inlineStr">
        <is>
          <t>&lt;0,05</t>
        </is>
      </c>
      <c r="H18" s="2" t="inlineStr">
        <is>
          <t>conforme</t>
        </is>
      </c>
    </row>
    <row r="19">
      <c r="A19" s="2" t="inlineStr">
        <is>
          <t>Portata giornaliera scarico</t>
        </is>
      </c>
      <c r="B19" s="2" t="inlineStr">
        <is>
          <t>m3/g</t>
        </is>
      </c>
      <c r="C19" s="2" t="inlineStr">
        <is>
          <t>--</t>
        </is>
      </c>
      <c r="D19" s="2" t="n">
        <v>38</v>
      </c>
      <c r="E19" s="2" t="n">
        <v>52</v>
      </c>
      <c r="F19" s="2" t="n">
        <v>41</v>
      </c>
      <c r="G19" s="2" t="n">
        <v>36</v>
      </c>
    </row>
    <row r="20"/>
    <row r="21">
      <c r="A21" s="2" t="inlineStr">
        <is>
          <t>SUPERAMENTO GRASSI E OLII ANIMALI/VEGETALI - RdP 2026/03188 del 19/03/2026: valore 58 mg/l contro limite 40 mg/l.</t>
        </is>
      </c>
    </row>
    <row r="22">
      <c r="A22" s="2" t="inlineStr">
        <is>
          <t>Azione intrapresa (rif. comunicazione al gestore Acque Veronesi prot. uscita AFG/2026/114 del 20/03/2026, entro le 48 h):</t>
        </is>
      </c>
    </row>
    <row r="23">
      <c r="A23" s="2" t="inlineStr">
        <is>
          <t>1) pulizia straordinaria degrassatore statico e disoleatore eseguita il 21/03/2026 da ditta Ecoveneta Ambiente (spurgo kg 2.600, avviato come rifiuto)</t>
        </is>
      </c>
    </row>
    <row r="24">
      <c r="A24" s="2" t="inlineStr">
        <is>
          <t>2) revisione dosaggi sanificazione CIP-01 con Chemifood Italia: eccesso di sanificante PAA e trascinamento grassi da lavaggio teglie Linea 2 (campagna domenicale ordini Tosano, volumi lavaggio raddoppiati)</t>
        </is>
      </c>
    </row>
    <row r="25">
      <c r="A25" s="2" t="inlineStr">
        <is>
          <t>3) ricampionamento del 02/04/2026 (RdP 2026/03840): grassi 31 mg/l - RIENTRATO</t>
        </is>
      </c>
    </row>
    <row r="26">
      <c r="A26" s="2" t="inlineStr">
        <is>
          <t>4) inserita pulizia degrassatore con frequenza TRIMESTRALE (prima semestrale) nello scadenzario adempimenti</t>
        </is>
      </c>
    </row>
    <row r="27">
      <c r="A27" s="2" t="inlineStr">
        <is>
          <t>prossimo prelievo trimestrale previsto: settembre 2026 (vedi scadenzario)</t>
        </is>
      </c>
    </row>
    <row r="28"/>
    <row r="29">
      <c r="A29" s="2" t="inlineStr">
        <is>
          <t>media grassi 2026</t>
        </is>
      </c>
      <c r="B29" s="2">
        <f>AVERAGE(D15,E15,G15)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1" customWidth="1" min="1" max="1"/>
    <col width="22" customWidth="1" min="2" max="2"/>
    <col width="17" customWidth="1" min="3" max="3"/>
    <col width="10" customWidth="1" min="4" max="4"/>
    <col width="11" customWidth="1" min="5" max="5"/>
    <col width="10" customWidth="1" min="6" max="6"/>
    <col width="12" customWidth="1" min="7" max="7"/>
    <col width="12" customWidth="1" min="8" max="8"/>
    <col width="18" customWidth="1" min="9" max="9"/>
    <col width="19" customWidth="1" min="10" max="10"/>
    <col width="10" customWidth="1" min="11" max="11"/>
  </cols>
  <sheetData>
    <row r="1">
      <c r="A1" s="1" t="inlineStr">
        <is>
          <t>STORICO AUTOCONTROLLI 2025 - SCARICO S1</t>
        </is>
      </c>
    </row>
    <row r="2">
      <c r="A2" s="2" t="inlineStr">
        <is>
          <t>data prelievo</t>
        </is>
      </c>
      <c r="B2" s="2" t="inlineStr">
        <is>
          <t>RdP Analytica Veneta</t>
        </is>
      </c>
      <c r="C2" s="2" t="inlineStr">
        <is>
          <t>pH</t>
        </is>
      </c>
      <c r="D2" s="2" t="inlineStr">
        <is>
          <t>SST mg/l</t>
        </is>
      </c>
      <c r="E2" s="2" t="inlineStr">
        <is>
          <t>BOD5 mg/l</t>
        </is>
      </c>
      <c r="F2" s="2" t="inlineStr">
        <is>
          <t>COD mg/l</t>
        </is>
      </c>
      <c r="G2" s="2" t="inlineStr">
        <is>
          <t>N-NH4 mg/l</t>
        </is>
      </c>
      <c r="H2" s="2" t="inlineStr">
        <is>
          <t>P tot mg/l</t>
        </is>
      </c>
      <c r="I2" s="2" t="inlineStr">
        <is>
          <t>Grassi/olii mg/l</t>
        </is>
      </c>
      <c r="J2" s="2" t="inlineStr">
        <is>
          <t>Tensioattivi mg/l</t>
        </is>
      </c>
      <c r="K2" s="2" t="inlineStr">
        <is>
          <t>esito</t>
        </is>
      </c>
    </row>
    <row r="3">
      <c r="A3" s="2" t="inlineStr">
        <is>
          <t>16/01/2025</t>
        </is>
      </c>
      <c r="B3" s="2" t="inlineStr">
        <is>
          <t>2025/00388</t>
        </is>
      </c>
      <c r="C3" s="2" t="n">
        <v>7.5</v>
      </c>
      <c r="D3" s="2" t="n">
        <v>76</v>
      </c>
      <c r="E3" s="2" t="n">
        <v>96</v>
      </c>
      <c r="F3" s="2" t="n">
        <v>204</v>
      </c>
      <c r="G3" s="2" t="n">
        <v>5.1</v>
      </c>
      <c r="H3" s="2" t="n">
        <v>2</v>
      </c>
      <c r="I3" s="2" t="n">
        <v>16</v>
      </c>
      <c r="J3" s="2" t="n">
        <v>1</v>
      </c>
      <c r="K3" s="2" t="inlineStr">
        <is>
          <t>conforme</t>
        </is>
      </c>
    </row>
    <row r="4">
      <c r="A4" s="2" t="inlineStr">
        <is>
          <t>10/04/2025</t>
        </is>
      </c>
      <c r="B4" s="2" t="inlineStr">
        <is>
          <t>2025/03412</t>
        </is>
      </c>
      <c r="C4" s="2" t="n">
        <v>7.3</v>
      </c>
      <c r="D4" s="2" t="n">
        <v>91</v>
      </c>
      <c r="E4" s="2" t="n">
        <v>122</v>
      </c>
      <c r="F4" s="2" t="n">
        <v>251</v>
      </c>
      <c r="G4" s="2" t="n">
        <v>6.6</v>
      </c>
      <c r="H4" s="2" t="n">
        <v>2.6</v>
      </c>
      <c r="I4" s="2" t="n">
        <v>24</v>
      </c>
      <c r="J4" s="2" t="n">
        <v>1.3</v>
      </c>
      <c r="K4" s="2" t="inlineStr">
        <is>
          <t>conforme</t>
        </is>
      </c>
    </row>
    <row r="5">
      <c r="A5" s="2" t="inlineStr">
        <is>
          <t>17/07/2025</t>
        </is>
      </c>
      <c r="B5" s="2" t="inlineStr">
        <is>
          <t>2025/06710</t>
        </is>
      </c>
      <c r="C5" s="2" t="n">
        <v>7.1</v>
      </c>
      <c r="D5" s="2" t="n">
        <v>102</v>
      </c>
      <c r="E5" s="2" t="n">
        <v>138</v>
      </c>
      <c r="F5" s="2" t="n">
        <v>276</v>
      </c>
      <c r="G5" s="2" t="n">
        <v>7.4</v>
      </c>
      <c r="H5" s="2" t="n">
        <v>3</v>
      </c>
      <c r="I5" s="2" t="n">
        <v>28</v>
      </c>
      <c r="J5" s="2" t="n">
        <v>1.6</v>
      </c>
      <c r="K5" s="2" t="inlineStr">
        <is>
          <t>conforme</t>
        </is>
      </c>
    </row>
    <row r="6">
      <c r="A6" s="2" t="inlineStr">
        <is>
          <t>09/10/2025</t>
        </is>
      </c>
      <c r="B6" s="2" t="inlineStr">
        <is>
          <t>2025/09344</t>
        </is>
      </c>
      <c r="C6" s="2" t="n">
        <v>7.4</v>
      </c>
      <c r="D6" s="2" t="n">
        <v>88</v>
      </c>
      <c r="E6" s="2" t="n">
        <v>114</v>
      </c>
      <c r="F6" s="2" t="n">
        <v>238</v>
      </c>
      <c r="G6" s="2" t="n">
        <v>5.9</v>
      </c>
      <c r="H6" s="2" t="n">
        <v>2.4</v>
      </c>
      <c r="I6" s="2" t="n">
        <v>21</v>
      </c>
      <c r="J6" s="2" t="n">
        <v>1.2</v>
      </c>
      <c r="K6" s="2" t="inlineStr">
        <is>
          <t>conforme</t>
        </is>
      </c>
    </row>
    <row r="7">
      <c r="A7" s="2" t="inlineStr">
        <is>
          <t>15-01-26</t>
        </is>
      </c>
      <c r="B7" s="2" t="inlineStr">
        <is>
          <t>2026/00412</t>
        </is>
      </c>
      <c r="C7" s="2" t="n">
        <v>7.4</v>
      </c>
      <c r="D7" s="2" t="n">
        <v>84</v>
      </c>
      <c r="E7" s="2" t="n">
        <v>118</v>
      </c>
      <c r="F7" s="2" t="n">
        <v>246</v>
      </c>
      <c r="G7" s="2" t="n">
        <v>6.2</v>
      </c>
      <c r="H7" s="2" t="n">
        <v>2.4</v>
      </c>
      <c r="I7" s="2" t="n">
        <v>22</v>
      </c>
      <c r="J7" s="2" t="n">
        <v>1.2</v>
      </c>
      <c r="K7" s="2" t="inlineStr">
        <is>
          <t>conforme</t>
        </is>
      </c>
    </row>
    <row r="8">
      <c r="A8" s="2" t="inlineStr">
        <is>
          <t>media SST 2025</t>
        </is>
      </c>
      <c r="C8" s="2">
        <f>AVERAGE(D3:D6)</f>
        <v/>
      </c>
    </row>
    <row r="9">
      <c r="A9" s="2" t="inlineStr">
        <is>
          <t>media grassi 2025</t>
        </is>
      </c>
      <c r="D9" s="2" t="e">
        <v>#DIV/0!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11" customWidth="1" min="3" max="3"/>
  </cols>
  <sheetData>
    <row r="1">
      <c r="A1" s="1" t="inlineStr">
        <is>
          <t>LIMITI ALLO SCARICO S1 - Tabella 3 Allegato 5 Parte III D.Lgs. 152/2006 - colonna rete fognaria</t>
        </is>
      </c>
    </row>
    <row r="2">
      <c r="A2" s="2" t="inlineStr">
        <is>
          <t>recepiti in AUA Det. 987/2019 sez. A.4 - salvo limiti piu' restrittivi regolamento Acque Veronesi</t>
        </is>
      </c>
    </row>
    <row r="3">
      <c r="A3" s="3" t="inlineStr">
        <is>
          <t>Parametro</t>
        </is>
      </c>
      <c r="B3" s="3" t="inlineStr">
        <is>
          <t>UM</t>
        </is>
      </c>
      <c r="C3" s="3" t="inlineStr">
        <is>
          <t>Limite</t>
        </is>
      </c>
    </row>
    <row r="4">
      <c r="A4" s="2" t="inlineStr">
        <is>
          <t>pH</t>
        </is>
      </c>
      <c r="B4" s="2" t="inlineStr">
        <is>
          <t>unita' pH</t>
        </is>
      </c>
      <c r="C4" s="2" t="inlineStr">
        <is>
          <t>5,5 - 9,5</t>
        </is>
      </c>
    </row>
    <row r="5">
      <c r="A5" s="2" t="inlineStr">
        <is>
          <t>Solidi sospesi totali</t>
        </is>
      </c>
      <c r="B5" s="2" t="inlineStr">
        <is>
          <t>mg/l</t>
        </is>
      </c>
      <c r="C5" s="2" t="n">
        <v>200</v>
      </c>
    </row>
    <row r="6">
      <c r="A6" s="2" t="inlineStr">
        <is>
          <t>BOD5</t>
        </is>
      </c>
      <c r="B6" s="2" t="inlineStr">
        <is>
          <t>mg/l O2</t>
        </is>
      </c>
      <c r="C6" s="2" t="n">
        <v>250</v>
      </c>
    </row>
    <row r="7">
      <c r="A7" s="2" t="inlineStr">
        <is>
          <t>COD</t>
        </is>
      </c>
      <c r="B7" s="2" t="inlineStr">
        <is>
          <t>mg/l O2</t>
        </is>
      </c>
      <c r="C7" s="2" t="n">
        <v>500</v>
      </c>
    </row>
    <row r="8">
      <c r="A8" s="2" t="inlineStr">
        <is>
          <t>Azoto ammoniacale (come NH4)</t>
        </is>
      </c>
      <c r="B8" s="2" t="inlineStr">
        <is>
          <t>mg/l</t>
        </is>
      </c>
      <c r="C8" s="2" t="n">
        <v>30</v>
      </c>
    </row>
    <row r="9">
      <c r="A9" s="2" t="inlineStr">
        <is>
          <t>Azoto nitroso (come N)</t>
        </is>
      </c>
      <c r="B9" s="2" t="inlineStr">
        <is>
          <t>mg/l</t>
        </is>
      </c>
      <c r="C9" s="2" t="inlineStr">
        <is>
          <t>0,6</t>
        </is>
      </c>
    </row>
    <row r="10">
      <c r="A10" s="2" t="inlineStr">
        <is>
          <t>Azoto nitrico (come N)</t>
        </is>
      </c>
      <c r="B10" s="2" t="inlineStr">
        <is>
          <t>mg/l</t>
        </is>
      </c>
      <c r="C10" s="2" t="n">
        <v>30</v>
      </c>
    </row>
    <row r="11">
      <c r="A11" s="2" t="inlineStr">
        <is>
          <t>Fosforo totale (come P)</t>
        </is>
      </c>
      <c r="B11" s="2" t="inlineStr">
        <is>
          <t>mg/l</t>
        </is>
      </c>
      <c r="C11" s="2" t="n">
        <v>10</v>
      </c>
    </row>
    <row r="12">
      <c r="A12" s="2" t="inlineStr">
        <is>
          <t>Grassi e olii animali/vegetali</t>
        </is>
      </c>
      <c r="B12" s="2" t="inlineStr">
        <is>
          <t>mg/l</t>
        </is>
      </c>
      <c r="C12" s="2" t="n">
        <v>40</v>
      </c>
    </row>
    <row r="13">
      <c r="A13" s="2" t="inlineStr">
        <is>
          <t>Idrocarburi totali</t>
        </is>
      </c>
      <c r="B13" s="2" t="inlineStr">
        <is>
          <t>mg/l</t>
        </is>
      </c>
      <c r="C13" s="2" t="n">
        <v>10</v>
      </c>
    </row>
    <row r="14">
      <c r="A14" s="2" t="inlineStr">
        <is>
          <t>Tensioattivi totali</t>
        </is>
      </c>
      <c r="B14" s="2" t="inlineStr">
        <is>
          <t>mg/l</t>
        </is>
      </c>
      <c r="C14" s="2" t="n">
        <v>4</v>
      </c>
    </row>
    <row r="15">
      <c r="A15" s="2" t="inlineStr">
        <is>
          <t>Cloro attivo libero</t>
        </is>
      </c>
      <c r="B15" s="2" t="inlineStr">
        <is>
          <t>mg/l</t>
        </is>
      </c>
      <c r="C15" s="2" t="inlineStr">
        <is>
          <t>0,3</t>
        </is>
      </c>
    </row>
    <row r="16">
      <c r="A16" s="2" t="inlineStr">
        <is>
          <t>frequenza autocontrollo</t>
        </is>
      </c>
      <c r="B16" s="2" t="inlineStr">
        <is>
          <t>trimestrale</t>
        </is>
      </c>
    </row>
    <row r="17">
      <c r="A17" s="2" t="inlineStr">
        <is>
          <t>conservazione RdP</t>
        </is>
      </c>
      <c r="B17" s="2" t="inlineStr">
        <is>
          <t>5 anni</t>
        </is>
      </c>
    </row>
    <row r="18">
      <c r="A18" s="2" t="inlineStr">
        <is>
          <t>trasmissione al gestore</t>
        </is>
      </c>
      <c r="B18" s="2" t="inlineStr">
        <is>
          <t>entro 30 gg dal prelievo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appunti SP</t>
        </is>
      </c>
    </row>
    <row r="2">
      <c r="A2" s="2" t="inlineStr">
        <is>
          <t>chiamare Analytica x preventivo shelf life snack paprika (Zanchetta) - NON c'entra con le acque ma nn perdere il nr: 045 8204461</t>
        </is>
      </c>
    </row>
    <row r="3">
      <c r="A3" s="2" t="inlineStr">
        <is>
          <t>il pozzetto S1 dopo la pioggia del 28/03 era mezzo pieno di fango, detto a Faggionato</t>
        </is>
      </c>
    </row>
    <row r="4">
      <c r="A4" s="2" t="inlineStr">
        <is>
          <t>ricordarsi lettura totalizzatore fine mese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Aurora Food Group S.r.l.</Company>
  <AppVersion>16.0300</AppVersion>
  <TotalTime>296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analisi acque reflue autocontrollo 2026</dc:title>
  <dc:creator>Elena Marchetti</dc:creator>
  <cp:lastModifiedBy>Sara Pozzato</cp:lastModifiedBy>
  <cp:revision>11</cp:revision>
  <dc:description/>
  <dcterms:created xsi:type="dcterms:W3CDTF">2026-03-12T15:23:20Z</dcterms:created>
  <dcterms:modified xsi:type="dcterms:W3CDTF">2026-08-12T18:23:20Z</dcterms:modified>
  <cp:company>Aurora Food Group S.r.l.</cp:company>
</cp:coreProperties>
</file>