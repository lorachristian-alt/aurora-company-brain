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mensili" sheetId="1" state="visible" r:id="rId1"/>
    <sheet xmlns:r="http://schemas.openxmlformats.org/officeDocument/2006/relationships" name="Reclami" sheetId="2" state="visible" r:id="rId2"/>
    <sheet xmlns:r="http://schemas.openxmlformats.org/officeDocument/2006/relationships" name="NC per causa" sheetId="3" state="visible" r:id="rId3"/>
    <sheet xmlns:r="http://schemas.openxmlformats.org/officeDocument/2006/relationships" name="Tamponi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b val="1"/>
      <color rgb="00C00000"/>
      <sz val="10"/>
    </font>
    <font>
      <name val="Calibri"/>
      <i val="1"/>
      <color rgb="009C6500"/>
      <sz val="8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4" fillId="3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7" fillId="4" borderId="0" pivotButton="0" quotePrefix="0" xfId="0"/>
    <xf numFmtId="165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4" customWidth="1" min="10" max="10"/>
  </cols>
  <sheetData>
    <row r="1">
      <c r="A1" s="1" t="inlineStr">
        <is>
          <t>Cruscotto indicatori qualità 2026 - riesame direzione</t>
        </is>
      </c>
    </row>
    <row r="2">
      <c r="A2" s="2" t="inlineStr">
        <is>
          <t>E. Marchetti - dati gennaio/maggio - target definiti nel riesame del 12/03/2026</t>
        </is>
      </c>
    </row>
    <row r="5" ht="28" customHeight="1">
      <c r="A5" s="3" t="inlineStr">
        <is>
          <t>Indicatore</t>
        </is>
      </c>
      <c r="B5" s="3" t="inlineStr">
        <is>
          <t>Target</t>
        </is>
      </c>
      <c r="C5" s="3" t="inlineStr">
        <is>
          <t>gen</t>
        </is>
      </c>
      <c r="D5" s="3" t="inlineStr">
        <is>
          <t>feb</t>
        </is>
      </c>
      <c r="E5" s="3" t="inlineStr">
        <is>
          <t>mar</t>
        </is>
      </c>
      <c r="F5" s="3" t="inlineStr">
        <is>
          <t>apr</t>
        </is>
      </c>
      <c r="G5" s="3" t="inlineStr">
        <is>
          <t>mag</t>
        </is>
      </c>
      <c r="H5" s="3" t="inlineStr">
        <is>
          <t>Media</t>
        </is>
      </c>
      <c r="I5" s="3" t="inlineStr">
        <is>
          <t>Trend</t>
        </is>
      </c>
      <c r="J5" s="3" t="inlineStr">
        <is>
          <t>Stato</t>
        </is>
      </c>
    </row>
    <row r="6">
      <c r="A6" s="4" t="inlineStr">
        <is>
          <t>Reclami cliente per milione di pz (ppm)</t>
        </is>
      </c>
      <c r="B6" s="4" t="n">
        <v>8</v>
      </c>
      <c r="C6" s="4" t="n">
        <v>4.2</v>
      </c>
      <c r="D6" s="4" t="n">
        <v>6.1</v>
      </c>
      <c r="E6" s="4" t="n">
        <v>5.4</v>
      </c>
      <c r="F6" s="4" t="n">
        <v>7.8</v>
      </c>
      <c r="G6" s="5" t="n">
        <v>19.6</v>
      </c>
      <c r="H6" s="4">
        <f>AVERAGE(C6:G6)</f>
        <v/>
      </c>
      <c r="I6" s="4">
        <f>IF(G6&gt;F6,"in aumento",IF(G6&lt;F6,"in calo","stabile"))</f>
        <v/>
      </c>
      <c r="J6" s="4">
        <f>IF(G6&lt;=B6,"nel target","FUORI TARGET")</f>
        <v/>
      </c>
    </row>
    <row r="7">
      <c r="A7" s="4" t="inlineStr">
        <is>
          <t>Lotti bloccati / lotti prodotti %</t>
        </is>
      </c>
      <c r="B7" s="4" t="n">
        <v>1.5</v>
      </c>
      <c r="C7" s="4" t="n">
        <v>0.8</v>
      </c>
      <c r="D7" s="4" t="n">
        <v>1.1</v>
      </c>
      <c r="E7" s="4" t="n">
        <v>0.9</v>
      </c>
      <c r="F7" s="4" t="n">
        <v>1.4</v>
      </c>
      <c r="G7" s="5" t="n">
        <v>4.8</v>
      </c>
      <c r="H7" s="4">
        <f>AVERAGE(C7:G7)</f>
        <v/>
      </c>
      <c r="I7" s="4">
        <f>IF(G7&gt;F7,"in aumento",IF(G7&lt;F7,"in calo","stabile"))</f>
        <v/>
      </c>
      <c r="J7" s="4">
        <f>IF(G7&lt;=B7,"nel target","FUORI TARGET")</f>
        <v/>
      </c>
    </row>
    <row r="8">
      <c r="A8" s="4" t="inlineStr">
        <is>
          <t>Tamponi ambientali conformi %</t>
        </is>
      </c>
      <c r="B8" s="4" t="n">
        <v>95</v>
      </c>
      <c r="C8" s="4" t="n">
        <v>97.2</v>
      </c>
      <c r="D8" s="4" t="n">
        <v>96.09999999999999</v>
      </c>
      <c r="E8" s="4" t="n">
        <v>95.8</v>
      </c>
      <c r="F8" s="4" t="n">
        <v>92.40000000000001</v>
      </c>
      <c r="G8" s="5" t="n">
        <v>88.90000000000001</v>
      </c>
      <c r="H8" s="4">
        <f>AVERAGE(C8:G8)</f>
        <v/>
      </c>
      <c r="I8" s="4">
        <f>IF(G8&gt;F8,"in aumento",IF(G8&lt;F8,"in calo","stabile"))</f>
        <v/>
      </c>
      <c r="J8" s="4">
        <f>IF(G8&gt;=B8,"nel target","FUORI TARGET")</f>
        <v/>
      </c>
    </row>
    <row r="9">
      <c r="A9" s="4" t="inlineStr">
        <is>
          <t>Deviazioni CCP registrate (n.)</t>
        </is>
      </c>
      <c r="B9" s="4" t="n">
        <v>0</v>
      </c>
      <c r="C9" s="4" t="n">
        <v>0</v>
      </c>
      <c r="D9" s="4" t="n">
        <v>1</v>
      </c>
      <c r="E9" s="4" t="n">
        <v>0</v>
      </c>
      <c r="F9" s="4" t="n">
        <v>1</v>
      </c>
      <c r="G9" s="5" t="n">
        <v>3</v>
      </c>
      <c r="H9" s="4">
        <f>AVERAGE(C9:G9)</f>
        <v/>
      </c>
      <c r="I9" s="4">
        <f>IF(G9&gt;F9,"in aumento",IF(G9&lt;F9,"in calo","stabile"))</f>
        <v/>
      </c>
      <c r="J9" s="4">
        <f>IF(G9&lt;=B9,"nel target","FUORI TARGET")</f>
        <v/>
      </c>
    </row>
    <row r="10">
      <c r="A10" s="4" t="inlineStr">
        <is>
          <t>NC interne aperte a fine mese (n.)</t>
        </is>
      </c>
      <c r="B10" s="4" t="n">
        <v>5</v>
      </c>
      <c r="C10" s="4" t="n">
        <v>6</v>
      </c>
      <c r="D10" s="4" t="n">
        <v>8</v>
      </c>
      <c r="E10" s="4" t="n">
        <v>11</v>
      </c>
      <c r="F10" s="4" t="n">
        <v>14</v>
      </c>
      <c r="G10" s="5" t="n">
        <v>19</v>
      </c>
      <c r="H10" s="4">
        <f>AVERAGE(C10:G10)</f>
        <v/>
      </c>
      <c r="I10" s="4">
        <f>IF(G10&gt;F10,"in aumento",IF(G10&lt;F10,"in calo","stabile"))</f>
        <v/>
      </c>
      <c r="J10" s="4">
        <f>IF(G10&lt;=B10,"nel target","FUORI TARGET")</f>
        <v/>
      </c>
    </row>
    <row r="11">
      <c r="A11" s="4" t="inlineStr">
        <is>
          <t>Tempo medio chiusura NC (gg)</t>
        </is>
      </c>
      <c r="B11" s="4" t="n">
        <v>20</v>
      </c>
      <c r="C11" s="4" t="n">
        <v>18</v>
      </c>
      <c r="D11" s="4" t="n">
        <v>24</v>
      </c>
      <c r="E11" s="4" t="n">
        <v>31</v>
      </c>
      <c r="F11" s="4" t="n">
        <v>38</v>
      </c>
      <c r="G11" s="5" t="n">
        <v>44</v>
      </c>
      <c r="H11" s="4">
        <f>AVERAGE(C11:G11)</f>
        <v/>
      </c>
      <c r="I11" s="4">
        <f>IF(G11&gt;F11,"in aumento",IF(G11&lt;F11,"in calo","stabile"))</f>
        <v/>
      </c>
      <c r="J11" s="4">
        <f>IF(G11&lt;=B11,"nel target","FUORI TARGET")</f>
        <v/>
      </c>
    </row>
    <row r="12">
      <c r="A12" s="4" t="inlineStr">
        <is>
          <t>Costo della non qualità (€)</t>
        </is>
      </c>
      <c r="B12" s="4" t="n">
        <v>1600</v>
      </c>
      <c r="C12" s="4" t="n">
        <v>980</v>
      </c>
      <c r="D12" s="4" t="n">
        <v>1420</v>
      </c>
      <c r="E12" s="4" t="n">
        <v>1180</v>
      </c>
      <c r="F12" s="4" t="n">
        <v>2240</v>
      </c>
      <c r="G12" s="5" t="n">
        <v>18600</v>
      </c>
      <c r="H12" s="4">
        <f>AVERAGE(C12:G12)</f>
        <v/>
      </c>
      <c r="I12" s="4">
        <f>IF(G12&gt;F12,"in aumento",IF(G12&lt;F12,"in calo","stabile"))</f>
        <v/>
      </c>
      <c r="J12" s="4">
        <f>IF(G12&lt;=B12,"nel target","FUORI TARGET")</f>
        <v/>
      </c>
    </row>
    <row r="13">
      <c r="A13" s="4" t="inlineStr">
        <is>
          <t>Ore formazione erogate</t>
        </is>
      </c>
      <c r="B13" s="4" t="n">
        <v>40</v>
      </c>
      <c r="C13" s="4" t="n">
        <v>32</v>
      </c>
      <c r="D13" s="4" t="n">
        <v>18</v>
      </c>
      <c r="E13" s="4" t="n">
        <v>44</v>
      </c>
      <c r="F13" s="4" t="n">
        <v>12</v>
      </c>
      <c r="G13" s="5" t="n">
        <v>6</v>
      </c>
      <c r="H13" s="4">
        <f>AVERAGE(C13:G13)</f>
        <v/>
      </c>
      <c r="I13" s="4">
        <f>IF(G13&gt;F13,"in aumento",IF(G13&lt;F13,"in calo","stabile"))</f>
        <v/>
      </c>
      <c r="J13" s="4">
        <f>IF(G13&gt;=B13,"nel target","FUORI TARGET")</f>
        <v/>
      </c>
    </row>
    <row r="14">
      <c r="A14" s="4" t="inlineStr">
        <is>
          <t>Fornitori in classe A %</t>
        </is>
      </c>
      <c r="B14" s="4" t="n">
        <v>70</v>
      </c>
      <c r="C14" s="4" t="n">
        <v>72</v>
      </c>
      <c r="D14" s="4" t="n">
        <v>72</v>
      </c>
      <c r="E14" s="4" t="n">
        <v>68</v>
      </c>
      <c r="F14" s="4" t="n">
        <v>64</v>
      </c>
      <c r="G14" s="5" t="n">
        <v>64</v>
      </c>
      <c r="H14" s="4">
        <f>AVERAGE(C14:G14)</f>
        <v/>
      </c>
      <c r="I14" s="4">
        <f>IF(G14&gt;F14,"in aumento",IF(G14&lt;F14,"in calo","stabile"))</f>
        <v/>
      </c>
      <c r="J14" s="4">
        <f>IF(G14&gt;=B14,"nel target","FUORI TARGET")</f>
        <v/>
      </c>
    </row>
    <row r="15">
      <c r="A15" s="4" t="inlineStr">
        <is>
          <t>Audit interni eseguiti / piano %</t>
        </is>
      </c>
      <c r="B15" s="4" t="n">
        <v>100</v>
      </c>
      <c r="C15" s="4" t="n">
        <v>100</v>
      </c>
      <c r="D15" s="4" t="n">
        <v>100</v>
      </c>
      <c r="E15" s="4" t="n">
        <v>66</v>
      </c>
      <c r="F15" s="4" t="n">
        <v>50</v>
      </c>
      <c r="G15" s="5" t="n">
        <v>33</v>
      </c>
      <c r="H15" s="4">
        <f>AVERAGE(C15:G15)</f>
        <v/>
      </c>
      <c r="I15" s="4">
        <f>IF(G15&gt;F15,"in aumento",IF(G15&lt;F15,"in calo","stabile"))</f>
        <v/>
      </c>
      <c r="J15" s="4">
        <f>IF(G15&gt;=B15,"nel target","FUORI TARGET")</f>
        <v/>
      </c>
    </row>
    <row r="17">
      <c r="A17" s="6" t="inlineStr">
        <is>
          <t>maggio è fuori scala su quasi tutto: è il mese del reclamo corpo estraneo</t>
        </is>
      </c>
    </row>
    <row r="18">
      <c r="A18" s="6" t="inlineStr">
        <is>
          <t>le ore di formazione sono crollate perché la produzione non libera le persone (segnalato 3 volte)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30" customWidth="1" min="4" max="4"/>
    <col width="14" customWidth="1" min="5" max="5"/>
    <col width="16" customWidth="1" min="6" max="6"/>
    <col width="30" customWidth="1" min="7" max="7"/>
    <col width="10" customWidth="1" min="8" max="8"/>
    <col width="11" customWidth="1" min="9" max="9"/>
    <col width="14" customWidth="1" min="10" max="10"/>
    <col width="11" customWidth="1" min="11" max="11"/>
    <col width="10" customWidth="1" min="12" max="12"/>
  </cols>
  <sheetData>
    <row r="1">
      <c r="A1" s="1" t="inlineStr">
        <is>
          <t>Registro reclami cliente e consumatore 2026</t>
        </is>
      </c>
    </row>
    <row r="5" ht="28" customHeight="1">
      <c r="A5" s="3" t="inlineStr">
        <is>
          <t>N.</t>
        </is>
      </c>
      <c r="B5" s="3" t="inlineStr">
        <is>
          <t>Data</t>
        </is>
      </c>
      <c r="C5" s="3" t="inlineStr">
        <is>
          <t>Origine</t>
        </is>
      </c>
      <c r="D5" s="3" t="inlineStr">
        <is>
          <t>Cliente / consumatore</t>
        </is>
      </c>
      <c r="E5" s="3" t="inlineStr">
        <is>
          <t>Prodotto</t>
        </is>
      </c>
      <c r="F5" s="3" t="inlineStr">
        <is>
          <t>Lotto</t>
        </is>
      </c>
      <c r="G5" s="3" t="inlineStr">
        <is>
          <t>Tipologia</t>
        </is>
      </c>
      <c r="H5" s="3" t="inlineStr">
        <is>
          <t>Gravità</t>
        </is>
      </c>
      <c r="I5" s="3" t="inlineStr">
        <is>
          <t>Pz coinvolti</t>
        </is>
      </c>
      <c r="J5" s="3" t="inlineStr">
        <is>
          <t>Stato</t>
        </is>
      </c>
      <c r="K5" s="3" t="inlineStr">
        <is>
          <t>Chiuso il</t>
        </is>
      </c>
      <c r="L5" s="3" t="inlineStr">
        <is>
          <t>gg aperto</t>
        </is>
      </c>
    </row>
    <row r="6">
      <c r="A6" s="4" t="n">
        <v>1</v>
      </c>
      <c r="B6" s="4" t="inlineStr">
        <is>
          <t>14/01/2026</t>
        </is>
      </c>
      <c r="C6" s="4" t="inlineStr">
        <is>
          <t>cliente GDO</t>
        </is>
      </c>
      <c r="D6" s="4" t="inlineStr">
        <is>
          <t>Tosano Cerea SpA</t>
        </is>
      </c>
      <c r="E6" s="4" t="inlineStr">
        <is>
          <t>AF-CR-0215</t>
        </is>
      </c>
      <c r="F6" s="4" t="inlineStr">
        <is>
          <t>L26008-L2-T1</t>
        </is>
      </c>
      <c r="G6" s="4" t="inlineStr">
        <is>
          <t>peso pezzo sotto tolleranza</t>
        </is>
      </c>
      <c r="H6" s="4" t="inlineStr">
        <is>
          <t>minore</t>
        </is>
      </c>
      <c r="I6" s="4" t="n">
        <v>480</v>
      </c>
      <c r="J6" s="4" t="inlineStr">
        <is>
          <t>chiuso</t>
        </is>
      </c>
      <c r="K6" s="4" t="inlineStr">
        <is>
          <t>28/01/2026</t>
        </is>
      </c>
      <c r="L6" s="4">
        <f>IF(K6="","APERTO DA "&amp;(DATE(2026,6,5)-DATEVALUE(B6))&amp;" gg","")</f>
        <v/>
      </c>
    </row>
    <row r="7">
      <c r="A7" s="4" t="n">
        <v>2</v>
      </c>
      <c r="B7" s="4" t="inlineStr">
        <is>
          <t>03/02/2026</t>
        </is>
      </c>
      <c r="C7" s="4" t="inlineStr">
        <is>
          <t>consumatore</t>
        </is>
      </c>
      <c r="D7" s="4" t="inlineStr">
        <is>
          <t>privato - form sito</t>
        </is>
      </c>
      <c r="E7" s="4" t="inlineStr">
        <is>
          <t>AF-SN-0450</t>
        </is>
      </c>
      <c r="F7" s="4" t="inlineStr">
        <is>
          <t>L26031-L1-T1</t>
        </is>
      </c>
      <c r="G7" s="4" t="inlineStr">
        <is>
          <t>confezione non sigillata</t>
        </is>
      </c>
      <c r="H7" s="4" t="inlineStr">
        <is>
          <t>minore</t>
        </is>
      </c>
      <c r="I7" s="4" t="n">
        <v>1</v>
      </c>
      <c r="J7" s="4" t="inlineStr">
        <is>
          <t>chiuso</t>
        </is>
      </c>
      <c r="K7" s="4" t="inlineStr">
        <is>
          <t>19/02/2026</t>
        </is>
      </c>
      <c r="L7" s="4">
        <f>IF(K7="","APERTO DA "&amp;(DATE(2026,6,5)-DATEVALUE(B7))&amp;" gg","")</f>
        <v/>
      </c>
    </row>
    <row r="8">
      <c r="A8" s="4" t="n">
        <v>3</v>
      </c>
      <c r="B8" s="4" t="inlineStr">
        <is>
          <t>22/02/2026</t>
        </is>
      </c>
      <c r="C8" s="4" t="inlineStr">
        <is>
          <t>cliente GDO</t>
        </is>
      </c>
      <c r="D8" s="4" t="inlineStr">
        <is>
          <t>Alì SpA</t>
        </is>
      </c>
      <c r="E8" s="4" t="inlineStr">
        <is>
          <t>AF-FC-0330</t>
        </is>
      </c>
      <c r="F8" s="4" t="inlineStr">
        <is>
          <t>L26050-L1-T2</t>
        </is>
      </c>
      <c r="G8" s="4" t="inlineStr">
        <is>
          <t>muffa a 5 gg dal TMC</t>
        </is>
      </c>
      <c r="H8" s="4" t="inlineStr">
        <is>
          <t>maggiore</t>
        </is>
      </c>
      <c r="I8" s="4" t="n">
        <v>96</v>
      </c>
      <c r="J8" s="4" t="inlineStr">
        <is>
          <t>chiuso</t>
        </is>
      </c>
      <c r="K8" s="4" t="inlineStr">
        <is>
          <t>14/03/2026</t>
        </is>
      </c>
      <c r="L8" s="4">
        <f>IF(K8="","APERTO DA "&amp;(DATE(2026,6,5)-DATEVALUE(B8))&amp;" gg","")</f>
        <v/>
      </c>
    </row>
    <row r="9">
      <c r="A9" s="4" t="n">
        <v>4</v>
      </c>
      <c r="B9" s="4" t="inlineStr">
        <is>
          <t>11/03/2026</t>
        </is>
      </c>
      <c r="C9" s="4" t="inlineStr">
        <is>
          <t>cliente GDO</t>
        </is>
      </c>
      <c r="D9" s="4" t="inlineStr">
        <is>
          <t>Tosano Cerea SpA</t>
        </is>
      </c>
      <c r="E9" s="4" t="inlineStr">
        <is>
          <t>AF-CR-0215</t>
        </is>
      </c>
      <c r="F9" s="4" t="inlineStr">
        <is>
          <t>L26066-L2-T2</t>
        </is>
      </c>
      <c r="G9" s="4" t="inlineStr">
        <is>
          <t>sfogliatura irregolare</t>
        </is>
      </c>
      <c r="H9" s="4" t="inlineStr">
        <is>
          <t>minore</t>
        </is>
      </c>
      <c r="I9" s="4" t="n">
        <v>1200</v>
      </c>
      <c r="J9" s="4" t="inlineStr">
        <is>
          <t>chiuso</t>
        </is>
      </c>
      <c r="K9" s="4" t="inlineStr">
        <is>
          <t>02/04/2026</t>
        </is>
      </c>
      <c r="L9" s="4">
        <f>IF(K9="","APERTO DA "&amp;(DATE(2026,6,5)-DATEVALUE(B9))&amp;" gg","")</f>
        <v/>
      </c>
    </row>
    <row r="10">
      <c r="A10" s="4" t="n">
        <v>5</v>
      </c>
      <c r="B10" s="4" t="inlineStr">
        <is>
          <t>29/03/2026</t>
        </is>
      </c>
      <c r="C10" s="4" t="inlineStr">
        <is>
          <t>consumatore</t>
        </is>
      </c>
      <c r="D10" s="4" t="inlineStr">
        <is>
          <t>privato - centralino</t>
        </is>
      </c>
      <c r="E10" s="4" t="inlineStr">
        <is>
          <t>AF-SN-0450</t>
        </is>
      </c>
      <c r="F10" s="4" t="inlineStr">
        <is>
          <t>L26085-L1-T3</t>
        </is>
      </c>
      <c r="G10" s="4" t="inlineStr">
        <is>
          <t>prodotto troppo salato</t>
        </is>
      </c>
      <c r="H10" s="4" t="inlineStr">
        <is>
          <t>minore</t>
        </is>
      </c>
      <c r="I10" s="4" t="n">
        <v>1</v>
      </c>
      <c r="J10" s="4" t="inlineStr">
        <is>
          <t>chiuso</t>
        </is>
      </c>
      <c r="K10" s="4" t="inlineStr">
        <is>
          <t>09/04/2026</t>
        </is>
      </c>
      <c r="L10" s="4">
        <f>IF(K10="","APERTO DA "&amp;(DATE(2026,6,5)-DATEVALUE(B10))&amp;" gg","")</f>
        <v/>
      </c>
    </row>
    <row r="11">
      <c r="A11" s="4" t="n">
        <v>6</v>
      </c>
      <c r="B11" s="4" t="inlineStr">
        <is>
          <t>18/04/2026</t>
        </is>
      </c>
      <c r="C11" s="4" t="inlineStr">
        <is>
          <t>cliente GDO</t>
        </is>
      </c>
      <c r="D11" s="4" t="inlineStr">
        <is>
          <t>Rossetto Trade SpA</t>
        </is>
      </c>
      <c r="E11" s="4" t="inlineStr">
        <is>
          <t>AF-FC-0330</t>
        </is>
      </c>
      <c r="F11" s="4" t="inlineStr">
        <is>
          <t>L26105-L1-T1</t>
        </is>
      </c>
      <c r="G11" s="4" t="inlineStr">
        <is>
          <t>cartone bagnato in consegna</t>
        </is>
      </c>
      <c r="H11" s="4" t="inlineStr">
        <is>
          <t>minore</t>
        </is>
      </c>
      <c r="I11" s="4" t="n">
        <v>240</v>
      </c>
      <c r="J11" s="4" t="inlineStr">
        <is>
          <t>chiuso</t>
        </is>
      </c>
      <c r="K11" s="4" t="inlineStr">
        <is>
          <t>30/04/2026</t>
        </is>
      </c>
      <c r="L11" s="4">
        <f>IF(K11="","APERTO DA "&amp;(DATE(2026,6,5)-DATEVALUE(B11))&amp;" gg","")</f>
        <v/>
      </c>
    </row>
    <row r="12">
      <c r="A12" s="7" t="n">
        <v>7</v>
      </c>
      <c r="B12" s="7" t="inlineStr">
        <is>
          <t>12/05/2026</t>
        </is>
      </c>
      <c r="C12" s="7" t="inlineStr">
        <is>
          <t>consumatore</t>
        </is>
      </c>
      <c r="D12" s="7" t="inlineStr">
        <is>
          <t>privato - form sito</t>
        </is>
      </c>
      <c r="E12" s="7" t="inlineStr">
        <is>
          <t>AF-SN-0450</t>
        </is>
      </c>
      <c r="F12" s="7" t="inlineStr">
        <is>
          <t>L26130-L1-T2</t>
        </is>
      </c>
      <c r="G12" s="7" t="inlineStr">
        <is>
          <t>CORPO ESTRANEO plastica dura azzurra</t>
        </is>
      </c>
      <c r="H12" s="7" t="inlineStr">
        <is>
          <t>CRITICO</t>
        </is>
      </c>
      <c r="I12" s="7" t="n">
        <v>1</v>
      </c>
      <c r="J12" s="7" t="inlineStr">
        <is>
          <t>aperto</t>
        </is>
      </c>
      <c r="K12" s="7" t="inlineStr"/>
      <c r="L12" s="7">
        <f>IF(K12="","APERTO DA "&amp;(DATE(2026,6,5)-DATEVALUE(B12))&amp;" gg","")</f>
        <v/>
      </c>
    </row>
    <row r="13">
      <c r="A13" s="7" t="n">
        <v>8</v>
      </c>
      <c r="B13" s="7" t="inlineStr">
        <is>
          <t>15/05/2026</t>
        </is>
      </c>
      <c r="C13" s="7" t="inlineStr">
        <is>
          <t>consumatore</t>
        </is>
      </c>
      <c r="D13" s="7" t="inlineStr">
        <is>
          <t>privato - form sito</t>
        </is>
      </c>
      <c r="E13" s="7" t="inlineStr">
        <is>
          <t>AF-SN-0450</t>
        </is>
      </c>
      <c r="F13" s="7" t="inlineStr">
        <is>
          <t>L26130-L1-T2</t>
        </is>
      </c>
      <c r="G13" s="7" t="inlineStr">
        <is>
          <t>corpo estraneo - frammento rigido</t>
        </is>
      </c>
      <c r="H13" s="7" t="inlineStr">
        <is>
          <t>CRITICO</t>
        </is>
      </c>
      <c r="I13" s="7" t="n">
        <v>1</v>
      </c>
      <c r="J13" s="7" t="inlineStr">
        <is>
          <t>aperto</t>
        </is>
      </c>
      <c r="K13" s="7" t="inlineStr"/>
      <c r="L13" s="7">
        <f>IF(K13="","APERTO DA "&amp;(DATE(2026,6,5)-DATEVALUE(B13))&amp;" gg","")</f>
        <v/>
      </c>
    </row>
    <row r="14">
      <c r="A14" s="7" t="n">
        <v>9</v>
      </c>
      <c r="B14" s="7" t="inlineStr">
        <is>
          <t>14/05/2026</t>
        </is>
      </c>
      <c r="C14" s="7" t="inlineStr">
        <is>
          <t>cliente GDO</t>
        </is>
      </c>
      <c r="D14" s="7" t="inlineStr">
        <is>
          <t>Tosano Cerea SpA</t>
        </is>
      </c>
      <c r="E14" s="7" t="inlineStr">
        <is>
          <t>AF-SN-0450</t>
        </is>
      </c>
      <c r="F14" s="7" t="inlineStr">
        <is>
          <t>L26130 / L26131</t>
        </is>
      </c>
      <c r="G14" s="7" t="inlineStr">
        <is>
          <t>richiesta relazione formale 48h</t>
        </is>
      </c>
      <c r="H14" s="7" t="inlineStr">
        <is>
          <t>CRITICO</t>
        </is>
      </c>
      <c r="I14" s="7" t="n">
        <v>9360</v>
      </c>
      <c r="J14" s="7" t="inlineStr">
        <is>
          <t>aperto</t>
        </is>
      </c>
      <c r="K14" s="7" t="inlineStr"/>
      <c r="L14" s="7">
        <f>IF(K14="","APERTO DA "&amp;(DATE(2026,6,5)-DATEVALUE(B14))&amp;" gg","")</f>
        <v/>
      </c>
    </row>
    <row r="15">
      <c r="A15" s="4" t="n">
        <v>10</v>
      </c>
      <c r="B15" s="4" t="inlineStr">
        <is>
          <t>19/05/2026</t>
        </is>
      </c>
      <c r="C15" s="4" t="inlineStr">
        <is>
          <t>cliente GDO</t>
        </is>
      </c>
      <c r="D15" s="4" t="inlineStr">
        <is>
          <t>Alì SpA</t>
        </is>
      </c>
      <c r="E15" s="4" t="inlineStr">
        <is>
          <t>AF-SN-0450</t>
        </is>
      </c>
      <c r="F15" s="4" t="inlineStr">
        <is>
          <t>L26130-L1-T2</t>
        </is>
      </c>
      <c r="G15" s="4" t="inlineStr">
        <is>
          <t>blocco cautelativo merce in CE.DI.</t>
        </is>
      </c>
      <c r="H15" s="4" t="inlineStr">
        <is>
          <t>maggiore</t>
        </is>
      </c>
      <c r="I15" s="4" t="n">
        <v>1440</v>
      </c>
      <c r="J15" s="4" t="inlineStr">
        <is>
          <t>aperto</t>
        </is>
      </c>
      <c r="K15" s="4" t="inlineStr"/>
      <c r="L15" s="4">
        <f>IF(K15="","APERTO DA "&amp;(DATE(2026,6,5)-DATEVALUE(B15))&amp;" gg","")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12" customWidth="1" min="4" max="4"/>
    <col width="12" customWidth="1" min="5" max="5"/>
    <col width="44" customWidth="1" min="6" max="6"/>
  </cols>
  <sheetData>
    <row r="1">
      <c r="A1" s="1" t="inlineStr">
        <is>
          <t>Non conformità 2026 per causa radice - analisi di Pareto</t>
        </is>
      </c>
    </row>
    <row r="5" ht="28" customHeight="1">
      <c r="A5" s="3" t="inlineStr">
        <is>
          <t>Causa radice</t>
        </is>
      </c>
      <c r="B5" s="3" t="inlineStr">
        <is>
          <t>N. NC</t>
        </is>
      </c>
      <c r="C5" s="3" t="inlineStr">
        <is>
          <t>%</t>
        </is>
      </c>
      <c r="D5" s="3" t="inlineStr">
        <is>
          <t>% cumulata</t>
        </is>
      </c>
      <c r="E5" s="3" t="inlineStr">
        <is>
          <t>Costo €</t>
        </is>
      </c>
      <c r="F5" s="3" t="inlineStr">
        <is>
          <t>Azione in corso</t>
        </is>
      </c>
    </row>
    <row r="6">
      <c r="A6" s="4" t="inlineStr">
        <is>
          <t>Registrazioni incomplete o non verificate</t>
        </is>
      </c>
      <c r="B6" s="4" t="n">
        <v>14</v>
      </c>
      <c r="C6" s="8">
        <f>B6/SUM($B$6:$B$12)</f>
        <v/>
      </c>
      <c r="D6" s="8">
        <f>SUM($C$6:C6)</f>
        <v/>
      </c>
      <c r="E6" s="9" t="n">
        <v>4200</v>
      </c>
      <c r="F6" s="4" t="inlineStr">
        <is>
          <t>seconda firma di fine turno - NON ancora applicata</t>
        </is>
      </c>
    </row>
    <row r="7">
      <c r="A7" s="4" t="inlineStr">
        <is>
          <t>Manutenzione rimandata / ricambi non originali</t>
        </is>
      </c>
      <c r="B7" s="4" t="n">
        <v>11</v>
      </c>
      <c r="C7" s="8">
        <f>B7/SUM($B$6:$B$12)</f>
        <v/>
      </c>
      <c r="D7" s="8">
        <f>SUM($C$6:C7)</f>
        <v/>
      </c>
      <c r="E7" s="9" t="n">
        <v>21400</v>
      </c>
      <c r="F7" s="4" t="inlineStr">
        <is>
          <t>ordine ricambi urgenti PKM-450</t>
        </is>
      </c>
    </row>
    <row r="8">
      <c r="A8" s="4" t="inlineStr">
        <is>
          <t>Errore umano di linea</t>
        </is>
      </c>
      <c r="B8" s="4" t="n">
        <v>9</v>
      </c>
      <c r="C8" s="8">
        <f>B8/SUM($B$6:$B$12)</f>
        <v/>
      </c>
      <c r="D8" s="8">
        <f>SUM($C$6:C8)</f>
        <v/>
      </c>
      <c r="E8" s="9" t="n">
        <v>3100</v>
      </c>
      <c r="F8" s="4" t="inlineStr">
        <is>
          <t>rifare formazione (rimandata per carichi produttivi)</t>
        </is>
      </c>
    </row>
    <row r="9">
      <c r="A9" s="4" t="inlineStr">
        <is>
          <t>Materia prima non conforme</t>
        </is>
      </c>
      <c r="B9" s="4" t="n">
        <v>7</v>
      </c>
      <c r="C9" s="8">
        <f>B9/SUM($B$6:$B$12)</f>
        <v/>
      </c>
      <c r="D9" s="8">
        <f>SUM($C$6:C9)</f>
        <v/>
      </c>
      <c r="E9" s="9" t="n">
        <v>5800</v>
      </c>
      <c r="F9" s="4" t="inlineStr">
        <is>
          <t>vendor rating e audit fornitore Lievital</t>
        </is>
      </c>
    </row>
    <row r="10">
      <c r="A10" s="4" t="inlineStr">
        <is>
          <t>Pulizia insufficiente / CIP abortito</t>
        </is>
      </c>
      <c r="B10" s="4" t="n">
        <v>6</v>
      </c>
      <c r="C10" s="8">
        <f>B10/SUM($B$6:$B$12)</f>
        <v/>
      </c>
      <c r="D10" s="8">
        <f>SUM($C$6:C10)</f>
        <v/>
      </c>
      <c r="E10" s="9" t="n">
        <v>2900</v>
      </c>
      <c r="F10" s="4" t="inlineStr">
        <is>
          <t>revisione IO-05 e turni di lavaggio</t>
        </is>
      </c>
    </row>
    <row r="11">
      <c r="A11" s="4" t="inlineStr">
        <is>
          <t>Taratura strumenti scaduta</t>
        </is>
      </c>
      <c r="B11" s="4" t="n">
        <v>4</v>
      </c>
      <c r="C11" s="8">
        <f>B11/SUM($B$6:$B$12)</f>
        <v/>
      </c>
      <c r="D11" s="8">
        <f>SUM($C$6:C11)</f>
        <v/>
      </c>
      <c r="E11" s="9" t="n">
        <v>1200</v>
      </c>
      <c r="F11" s="4" t="inlineStr">
        <is>
          <t>contratto con ente esterno da rinnovare</t>
        </is>
      </c>
    </row>
    <row r="12">
      <c r="A12" s="4" t="inlineStr">
        <is>
          <t>Altro / non determinata</t>
        </is>
      </c>
      <c r="B12" s="4" t="n">
        <v>5</v>
      </c>
      <c r="C12" s="8">
        <f>B12/SUM($B$6:$B$12)</f>
        <v/>
      </c>
      <c r="D12" s="8">
        <f>SUM($C$6:C12)</f>
        <v/>
      </c>
      <c r="E12" s="9" t="n">
        <v>900</v>
      </c>
      <c r="F12" s="4" t="inlineStr"/>
    </row>
    <row r="13">
      <c r="A13" s="10" t="inlineStr">
        <is>
          <t>TOTALE</t>
        </is>
      </c>
      <c r="B13" s="10">
        <f>SUM(B6:B12)</f>
        <v/>
      </c>
      <c r="E13" s="11">
        <f>SUM(E6:E12)</f>
        <v/>
      </c>
    </row>
    <row r="15">
      <c r="A15" s="6" t="inlineStr">
        <is>
          <t>le prime due cause sono esattamente le due NC minori dell'audit CSQA di febbraio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40" customWidth="1" min="9" max="9"/>
  </cols>
  <sheetData>
    <row r="1">
      <c r="A1" s="1" t="inlineStr">
        <is>
          <t>Andamento tamponi ambientali per zona - % conformità</t>
        </is>
      </c>
    </row>
    <row r="5" ht="28" customHeight="1">
      <c r="A5" s="3" t="inlineStr">
        <is>
          <t>Zona</t>
        </is>
      </c>
      <c r="B5" s="3" t="inlineStr">
        <is>
          <t>Punto</t>
        </is>
      </c>
      <c r="C5" s="3" t="inlineStr">
        <is>
          <t>gen</t>
        </is>
      </c>
      <c r="D5" s="3" t="inlineStr">
        <is>
          <t>feb</t>
        </is>
      </c>
      <c r="E5" s="3" t="inlineStr">
        <is>
          <t>mar</t>
        </is>
      </c>
      <c r="F5" s="3" t="inlineStr">
        <is>
          <t>apr</t>
        </is>
      </c>
      <c r="G5" s="3" t="inlineStr">
        <is>
          <t>mag</t>
        </is>
      </c>
      <c r="H5" s="3" t="inlineStr">
        <is>
          <t>Media</t>
        </is>
      </c>
      <c r="I5" s="3" t="inlineStr">
        <is>
          <t>Note</t>
        </is>
      </c>
    </row>
    <row r="6">
      <c r="A6" s="4" t="inlineStr">
        <is>
          <t>Zona 1</t>
        </is>
      </c>
      <c r="B6" s="4" t="inlineStr">
        <is>
          <t>Nastro uscita forno FT-01</t>
        </is>
      </c>
      <c r="C6" s="4" t="n">
        <v>100</v>
      </c>
      <c r="D6" s="4" t="n">
        <v>100</v>
      </c>
      <c r="E6" s="4" t="n">
        <v>100</v>
      </c>
      <c r="F6" s="4" t="n">
        <v>97</v>
      </c>
      <c r="G6" s="4" t="n">
        <v>94</v>
      </c>
      <c r="H6" s="4">
        <f>AVERAGE(C6:G6)</f>
        <v/>
      </c>
      <c r="I6" s="4" t="n"/>
    </row>
    <row r="7">
      <c r="A7" s="7" t="inlineStr">
        <is>
          <t>Zona 1</t>
        </is>
      </c>
      <c r="B7" s="7" t="inlineStr">
        <is>
          <t>Ganasce saldanti PKM-450</t>
        </is>
      </c>
      <c r="C7" s="7" t="n">
        <v>100</v>
      </c>
      <c r="D7" s="7" t="n">
        <v>97</v>
      </c>
      <c r="E7" s="7" t="n">
        <v>100</v>
      </c>
      <c r="F7" s="7" t="n">
        <v>92</v>
      </c>
      <c r="G7" s="7" t="n">
        <v>83</v>
      </c>
      <c r="H7" s="7">
        <f>AVERAGE(C7:G7)</f>
        <v/>
      </c>
      <c r="I7" s="7" t="n"/>
    </row>
    <row r="8">
      <c r="A8" s="4" t="inlineStr">
        <is>
          <t>Zona 1</t>
        </is>
      </c>
      <c r="B8" s="4" t="inlineStr">
        <is>
          <t>Scivolo metal detector MD-3200</t>
        </is>
      </c>
      <c r="C8" s="4" t="n">
        <v>100</v>
      </c>
      <c r="D8" s="4" t="n">
        <v>100</v>
      </c>
      <c r="E8" s="4" t="n">
        <v>97</v>
      </c>
      <c r="F8" s="4" t="n">
        <v>95</v>
      </c>
      <c r="G8" s="4" t="n">
        <v>89</v>
      </c>
      <c r="H8" s="4">
        <f>AVERAGE(C8:G8)</f>
        <v/>
      </c>
      <c r="I8" s="4" t="n"/>
    </row>
    <row r="9">
      <c r="A9" s="4" t="inlineStr">
        <is>
          <t>Zona 2</t>
        </is>
      </c>
      <c r="B9" s="4" t="inlineStr">
        <is>
          <t>Carrelli di trasferimento</t>
        </is>
      </c>
      <c r="C9" s="4" t="n">
        <v>97</v>
      </c>
      <c r="D9" s="4" t="n">
        <v>94</v>
      </c>
      <c r="E9" s="4" t="n">
        <v>97</v>
      </c>
      <c r="F9" s="4" t="n">
        <v>92</v>
      </c>
      <c r="G9" s="4" t="n">
        <v>88</v>
      </c>
      <c r="H9" s="4">
        <f>AVERAGE(C9:G9)</f>
        <v/>
      </c>
      <c r="I9" s="4" t="n"/>
    </row>
    <row r="10">
      <c r="A10" s="4" t="inlineStr">
        <is>
          <t>Zona 2</t>
        </is>
      </c>
      <c r="B10" s="4" t="inlineStr">
        <is>
          <t>Guarnizioni cella CF-02</t>
        </is>
      </c>
      <c r="C10" s="4" t="n">
        <v>100</v>
      </c>
      <c r="D10" s="4" t="n">
        <v>100</v>
      </c>
      <c r="E10" s="4" t="n">
        <v>94</v>
      </c>
      <c r="F10" s="4" t="n">
        <v>89</v>
      </c>
      <c r="G10" s="4" t="n">
        <v>86</v>
      </c>
      <c r="H10" s="4">
        <f>AVERAGE(C10:G10)</f>
        <v/>
      </c>
      <c r="I10" s="4" t="n"/>
    </row>
    <row r="11">
      <c r="A11" s="7" t="inlineStr">
        <is>
          <t>Zona 3</t>
        </is>
      </c>
      <c r="B11" s="7" t="inlineStr">
        <is>
          <t>Scarico a pavimento reparto forni</t>
        </is>
      </c>
      <c r="C11" s="7" t="n">
        <v>92</v>
      </c>
      <c r="D11" s="7" t="n">
        <v>89</v>
      </c>
      <c r="E11" s="7" t="n">
        <v>86</v>
      </c>
      <c r="F11" s="7" t="n">
        <v>78</v>
      </c>
      <c r="G11" s="7" t="n">
        <v>72</v>
      </c>
      <c r="H11" s="7">
        <f>AVERAGE(C11:G11)</f>
        <v/>
      </c>
      <c r="I11" s="7" t="n"/>
    </row>
    <row r="12">
      <c r="A12" s="7" t="inlineStr">
        <is>
          <t>Zona 3</t>
        </is>
      </c>
      <c r="B12" s="7" t="inlineStr">
        <is>
          <t>Ruote carrelli / pavimento corridoio</t>
        </is>
      </c>
      <c r="C12" s="7" t="n">
        <v>94</v>
      </c>
      <c r="D12" s="7" t="n">
        <v>92</v>
      </c>
      <c r="E12" s="7" t="n">
        <v>89</v>
      </c>
      <c r="F12" s="7" t="n">
        <v>86</v>
      </c>
      <c r="G12" s="7" t="n">
        <v>81</v>
      </c>
      <c r="H12" s="7">
        <f>AVERAGE(C12:G12)</f>
        <v/>
      </c>
      <c r="I12" s="7" t="n"/>
    </row>
    <row r="13">
      <c r="A13" s="4" t="inlineStr">
        <is>
          <t>Zona 4</t>
        </is>
      </c>
      <c r="B13" s="4" t="inlineStr">
        <is>
          <t>Spogliatoi e servizi</t>
        </is>
      </c>
      <c r="C13" s="4" t="n">
        <v>100</v>
      </c>
      <c r="D13" s="4" t="n">
        <v>100</v>
      </c>
      <c r="E13" s="4" t="n">
        <v>97</v>
      </c>
      <c r="F13" s="4" t="n">
        <v>97</v>
      </c>
      <c r="G13" s="4" t="n">
        <v>94</v>
      </c>
      <c r="H13" s="4">
        <f>AVERAGE(C13:G13)</f>
        <v/>
      </c>
      <c r="I13" s="4" t="n"/>
    </row>
    <row r="14">
      <c r="A14" s="4" t="inlineStr">
        <is>
          <t>-</t>
        </is>
      </c>
      <c r="B14" s="4" t="inlineStr">
        <is>
          <t>Mani operatore (tampone personale)</t>
        </is>
      </c>
      <c r="C14" s="4" t="n">
        <v>97</v>
      </c>
      <c r="D14" s="4" t="n">
        <v>94</v>
      </c>
      <c r="E14" s="4" t="n">
        <v>92</v>
      </c>
      <c r="F14" s="4" t="n">
        <v>89</v>
      </c>
      <c r="G14" s="4" t="n">
        <v>86</v>
      </c>
      <c r="H14" s="4">
        <f>AVERAGE(C14:G14)</f>
        <v/>
      </c>
      <c r="I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722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cruscotto KPI qualita 2026</dc:title>
  <dc:creator>Sara Pozzato</dc:creator>
  <cp:lastModifiedBy>Elena Marchetti</cp:lastModifiedBy>
  <cp:revision>24</cp:revision>
  <dc:description/>
  <dcterms:created xsi:type="dcterms:W3CDTF">2026-01-15T23:19:33Z</dcterms:created>
  <dcterms:modified xsi:type="dcterms:W3CDTF">2026-06-03T11:19:33Z</dcterms:modified>
  <cp:company>Aurora Food Group S.r.l.</cp:company>
</cp:coreProperties>
</file>