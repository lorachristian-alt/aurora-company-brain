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Consuntivo gen-mag" sheetId="2" state="visible" r:id="rId2"/>
    <sheet xmlns:r="http://schemas.openxmlformats.org/officeDocument/2006/relationships" name="Scostamenti" sheetId="3" state="visible" r:id="rId3"/>
    <sheet xmlns:r="http://schemas.openxmlformats.org/officeDocument/2006/relationships" name="Foglio1" sheetId="4" state="visible" r:id="rId4"/>
  </sheets>
  <definedNames>
    <definedName name="_xlnm._FilterDatabase" localSheetId="0" hidden="1">'Budget'!$A$5:$M$43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 &quot;€&quot;"/>
    <numFmt numFmtId="165" formatCode="0.0000 &quot;€&quot;"/>
    <numFmt numFmtId="166" formatCode="0.0%"/>
    <numFmt numFmtId="167" formatCode="#,##0 &quot;€&quot;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08080"/>
      <sz val="9"/>
    </font>
    <font>
      <name val="Calibri"/>
      <b val="1"/>
      <color rgb="00FFFFFF"/>
      <sz val="9"/>
    </font>
    <font>
      <name val="Calibri"/>
      <sz val="10"/>
    </font>
    <font>
      <name val="Calibri"/>
      <i val="1"/>
      <color rgb="009C6500"/>
      <sz val="8"/>
    </font>
    <font>
      <name val="Calibri"/>
      <b val="1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5" fillId="0" borderId="0" pivotButton="0" quotePrefix="0" xfId="0"/>
    <xf numFmtId="3" fontId="6" fillId="3" borderId="0" pivotButton="0" quotePrefix="0" xfId="0"/>
    <xf numFmtId="167" fontId="6" fillId="3" borderId="0" pivotButton="0" quotePrefix="0" xfId="0"/>
    <xf numFmtId="166" fontId="6" fillId="3" borderId="0" pivotButton="0" quotePrefix="0" xfId="0"/>
    <xf numFmtId="0" fontId="4" fillId="4" borderId="1" pivotButton="0" quotePrefix="0" xfId="0"/>
    <xf numFmtId="164" fontId="4" fillId="4" borderId="1" pivotButton="0" quotePrefix="0" xfId="0"/>
    <xf numFmtId="166" fontId="4" fillId="4" borderId="1" pivotButton="0" quotePrefix="0" xfId="0"/>
    <xf numFmtId="167" fontId="0" fillId="0" borderId="0" pivotButton="0" quotePrefix="0" xfId="0"/>
    <xf numFmtId="164" fontId="7" fillId="0" borderId="0" pivotButton="0" quotePrefix="0" xfId="0"/>
    <xf numFmtId="167" fontId="4" fillId="0" borderId="1" pivotButton="0" quotePrefix="0" xfId="0"/>
    <xf numFmtId="0" fontId="7" fillId="5" borderId="1" pivotButton="0" quotePrefix="0" xfId="0"/>
    <xf numFmtId="0" fontId="6" fillId="3" borderId="1" pivotButton="0" quotePrefix="0" xfId="0"/>
    <xf numFmtId="167" fontId="6" fillId="3" borderId="1" pivotButton="0" quotePrefix="0" xfId="0"/>
    <xf numFmtId="166" fontId="6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1" customWidth="1" min="8" max="8"/>
    <col width="11" customWidth="1" min="9" max="9"/>
    <col width="11" customWidth="1" min="10" max="10"/>
    <col width="13" customWidth="1" min="11" max="11"/>
    <col width="13" customWidth="1" min="12" max="12"/>
    <col width="8" customWidth="1" min="13" max="13"/>
  </cols>
  <sheetData>
    <row r="1">
      <c r="A1" s="1" t="inlineStr">
        <is>
          <t>AURORA FOOD GROUP SRL - Budget economico 2026 per linea</t>
        </is>
      </c>
    </row>
    <row r="2">
      <c r="A2" s="2" t="inlineStr">
        <is>
          <t>elaborazione L. Trentin - ultima modifica 03/06/2026 - NON DIFFONDERE</t>
        </is>
      </c>
    </row>
    <row r="5" ht="28" customHeight="1">
      <c r="A5" s="3" t="inlineStr">
        <is>
          <t>Mese</t>
        </is>
      </c>
      <c r="B5" s="3" t="inlineStr">
        <is>
          <t>Linea</t>
        </is>
      </c>
      <c r="C5" s="3" t="inlineStr">
        <is>
          <t>Volumi (pz)</t>
        </is>
      </c>
      <c r="D5" s="3" t="inlineStr">
        <is>
          <t>Prezzo medio</t>
        </is>
      </c>
      <c r="E5" s="3" t="inlineStr">
        <is>
          <t>Ricavi</t>
        </is>
      </c>
      <c r="F5" s="3" t="inlineStr">
        <is>
          <t>Materie prime</t>
        </is>
      </c>
      <c r="G5" s="3" t="inlineStr">
        <is>
          <t>Manodopera</t>
        </is>
      </c>
      <c r="H5" s="3" t="inlineStr">
        <is>
          <t>Energia</t>
        </is>
      </c>
      <c r="I5" s="3" t="inlineStr">
        <is>
          <t>Manutenz.</t>
        </is>
      </c>
      <c r="J5" s="3" t="inlineStr">
        <is>
          <t>Ammort.</t>
        </is>
      </c>
      <c r="K5" s="3" t="inlineStr">
        <is>
          <t>Costi totali</t>
        </is>
      </c>
      <c r="L5" s="3" t="inlineStr">
        <is>
          <t>MdC</t>
        </is>
      </c>
      <c r="M5" s="3" t="inlineStr">
        <is>
          <t>MdC %</t>
        </is>
      </c>
      <c r="O5" s="4" t="inlineStr">
        <is>
          <t>note Trentin:</t>
        </is>
      </c>
    </row>
    <row r="6">
      <c r="A6" s="5" t="inlineStr">
        <is>
          <t>gennaio</t>
        </is>
      </c>
      <c r="B6" s="5" t="inlineStr">
        <is>
          <t>Linea 1</t>
        </is>
      </c>
      <c r="C6" s="6" t="n">
        <v>170823</v>
      </c>
      <c r="D6" s="7" t="n">
        <v>0.742</v>
      </c>
      <c r="E6" s="8">
        <f>C6*D6</f>
        <v/>
      </c>
      <c r="F6" s="8">
        <f>E6*0.412</f>
        <v/>
      </c>
      <c r="G6" s="8">
        <f>E6*0.148</f>
        <v/>
      </c>
      <c r="H6" s="8">
        <f>E6*0.052</f>
        <v/>
      </c>
      <c r="I6" s="8" t="n">
        <v>4029.07</v>
      </c>
      <c r="J6" s="8" t="n">
        <v>5100</v>
      </c>
      <c r="K6" s="8">
        <f>SUM(F6:J6)</f>
        <v/>
      </c>
      <c r="L6" s="8">
        <f>E6-K6</f>
        <v/>
      </c>
      <c r="M6" s="9">
        <f>IF(E6=0,"",L6/E6)</f>
        <v/>
      </c>
      <c r="O6" s="10" t="inlineStr">
        <is>
          <t>energia gen-mag da bolletta, giu-dic stimata +6% (Veneta Energia ha già avvisato)</t>
        </is>
      </c>
    </row>
    <row r="7">
      <c r="A7" s="5" t="inlineStr">
        <is>
          <t>gennaio</t>
        </is>
      </c>
      <c r="B7" s="5" t="inlineStr">
        <is>
          <t>Linea 2</t>
        </is>
      </c>
      <c r="C7" s="6" t="n">
        <v>101812</v>
      </c>
      <c r="D7" s="7" t="n">
        <v>1.1942</v>
      </c>
      <c r="E7" s="8">
        <f>C7*D7</f>
        <v/>
      </c>
      <c r="F7" s="8">
        <f>E7*0.437</f>
        <v/>
      </c>
      <c r="G7" s="8">
        <f>E7*0.196</f>
        <v/>
      </c>
      <c r="H7" s="8">
        <f>E7*0.041</f>
        <v/>
      </c>
      <c r="I7" s="8" t="n">
        <v>2627.93</v>
      </c>
      <c r="J7" s="8" t="n">
        <v>3800</v>
      </c>
      <c r="K7" s="8">
        <f>SUM(F7:J7)</f>
        <v/>
      </c>
      <c r="L7" s="8">
        <f>E7-K7</f>
        <v/>
      </c>
      <c r="M7" s="9">
        <f>IF(E7=0,"",L7/E7)</f>
        <v/>
      </c>
      <c r="O7" s="10" t="inlineStr">
        <is>
          <t>manutenzione maggio comprende la riparazione PKM-450 (fattura Pakmatic non ancora arrivata)</t>
        </is>
      </c>
    </row>
    <row r="8">
      <c r="A8" s="5" t="inlineStr">
        <is>
          <t>gennaio</t>
        </is>
      </c>
      <c r="B8" s="5" t="inlineStr">
        <is>
          <t>Linea 3</t>
        </is>
      </c>
      <c r="C8" s="6" t="n">
        <v>54533</v>
      </c>
      <c r="D8" s="7" t="n">
        <v>1.6507</v>
      </c>
      <c r="E8" s="8">
        <f>C8*D8</f>
        <v/>
      </c>
      <c r="F8" s="8">
        <f>E8*0.455</f>
        <v/>
      </c>
      <c r="G8" s="8">
        <f>E8*0.131</f>
        <v/>
      </c>
      <c r="H8" s="8">
        <f>E8*0.089</f>
        <v/>
      </c>
      <c r="I8" s="8" t="n">
        <v>2044.69</v>
      </c>
      <c r="J8" s="8" t="n">
        <v>7400</v>
      </c>
      <c r="K8" s="8">
        <f>SUM(F8:J8)</f>
        <v/>
      </c>
      <c r="L8" s="8">
        <f>E8-K8</f>
        <v/>
      </c>
      <c r="M8" s="9">
        <f>IF(E8=0,"",L8/E8)</f>
        <v/>
      </c>
      <c r="O8" s="10" t="inlineStr">
        <is>
          <t>ATTENZIONE: linea 3 con ammortamento vecchio tunnel, da rifare quando entra il Criotech</t>
        </is>
      </c>
    </row>
    <row r="9">
      <c r="A9" s="5" t="inlineStr">
        <is>
          <t>febbraio</t>
        </is>
      </c>
      <c r="B9" s="5" t="inlineStr">
        <is>
          <t>Linea 1</t>
        </is>
      </c>
      <c r="C9" s="6" t="n">
        <v>173599</v>
      </c>
      <c r="D9" s="7" t="n">
        <v>0.7451</v>
      </c>
      <c r="E9" s="8">
        <f>C9*D9</f>
        <v/>
      </c>
      <c r="F9" s="8">
        <f>E9*0.412</f>
        <v/>
      </c>
      <c r="G9" s="8">
        <f>E9*0.148</f>
        <v/>
      </c>
      <c r="H9" s="8">
        <f>E9*0.052</f>
        <v/>
      </c>
      <c r="I9" s="8" t="n">
        <v>3260.72</v>
      </c>
      <c r="J9" s="8" t="n">
        <v>5100</v>
      </c>
      <c r="K9" s="8">
        <f>SUM(F9:J9)</f>
        <v/>
      </c>
      <c r="L9" s="8">
        <f>E9-K9</f>
        <v/>
      </c>
      <c r="M9" s="9">
        <f>IF(E9=0,"",L9/E9)</f>
        <v/>
      </c>
    </row>
    <row r="10">
      <c r="A10" s="5" t="inlineStr">
        <is>
          <t>febbraio</t>
        </is>
      </c>
      <c r="B10" s="5" t="inlineStr">
        <is>
          <t>Linea 2</t>
        </is>
      </c>
      <c r="C10" s="6" t="n">
        <v>99782</v>
      </c>
      <c r="D10" s="7" t="n">
        <v>1.1893</v>
      </c>
      <c r="E10" s="8">
        <f>C10*D10</f>
        <v/>
      </c>
      <c r="F10" s="8">
        <f>E10*0.437</f>
        <v/>
      </c>
      <c r="G10" s="8">
        <f>E10*0.196</f>
        <v/>
      </c>
      <c r="H10" s="8">
        <f>E10*0.041</f>
        <v/>
      </c>
      <c r="I10" s="8" t="n">
        <v>3554.58</v>
      </c>
      <c r="J10" s="8" t="n">
        <v>3800</v>
      </c>
      <c r="K10" s="8">
        <f>SUM(F10:J10)</f>
        <v/>
      </c>
      <c r="L10" s="8">
        <f>E10-K10</f>
        <v/>
      </c>
      <c r="M10" s="9">
        <f>IF(E10=0,"",L10/E10)</f>
        <v/>
      </c>
    </row>
    <row r="11">
      <c r="A11" s="5" t="inlineStr">
        <is>
          <t>febbraio</t>
        </is>
      </c>
      <c r="B11" s="5" t="inlineStr">
        <is>
          <t>Linea 3</t>
        </is>
      </c>
      <c r="C11" s="6" t="n">
        <v>56490</v>
      </c>
      <c r="D11" s="7" t="n">
        <v>1.6332</v>
      </c>
      <c r="E11" s="8">
        <f>C11*D11</f>
        <v/>
      </c>
      <c r="F11" s="8">
        <f>E11*0.455</f>
        <v/>
      </c>
      <c r="G11" s="8">
        <f>E11*0.131</f>
        <v/>
      </c>
      <c r="H11" s="8">
        <f>E11*0.089</f>
        <v/>
      </c>
      <c r="I11" s="8" t="n">
        <v>3332.6</v>
      </c>
      <c r="J11" s="8" t="n">
        <v>7400</v>
      </c>
      <c r="K11" s="8">
        <f>SUM(F11:J11)</f>
        <v/>
      </c>
      <c r="L11" s="8">
        <f>E11-K11</f>
        <v/>
      </c>
      <c r="M11" s="9">
        <f>IF(E11=0,"",L11/E11)</f>
        <v/>
      </c>
    </row>
    <row r="12">
      <c r="A12" s="5" t="inlineStr">
        <is>
          <t>marzo</t>
        </is>
      </c>
      <c r="B12" s="5" t="inlineStr">
        <is>
          <t>Linea 1</t>
        </is>
      </c>
      <c r="C12" s="6" t="n">
        <v>179677</v>
      </c>
      <c r="D12" s="7" t="n">
        <v>0.7406</v>
      </c>
      <c r="E12" s="8">
        <f>C12*D12</f>
        <v/>
      </c>
      <c r="F12" s="8">
        <f>E12*0.412</f>
        <v/>
      </c>
      <c r="G12" s="8">
        <f>E12*0.148</f>
        <v/>
      </c>
      <c r="H12" s="8">
        <f>E12*0.052</f>
        <v/>
      </c>
      <c r="I12" s="8" t="n">
        <v>3873.81</v>
      </c>
      <c r="J12" s="8" t="n">
        <v>5100</v>
      </c>
      <c r="K12" s="8">
        <f>SUM(F12:J12)</f>
        <v/>
      </c>
      <c r="L12" s="8">
        <f>E12-K12</f>
        <v/>
      </c>
      <c r="M12" s="9">
        <f>IF(E12=0,"",L12/E12)</f>
        <v/>
      </c>
    </row>
    <row r="13">
      <c r="A13" s="5" t="inlineStr">
        <is>
          <t>marzo</t>
        </is>
      </c>
      <c r="B13" s="5" t="inlineStr">
        <is>
          <t>Linea 2</t>
        </is>
      </c>
      <c r="C13" s="6" t="n">
        <v>104393</v>
      </c>
      <c r="D13" s="7" t="n">
        <v>1.1807</v>
      </c>
      <c r="E13" s="8">
        <f>C13*D13</f>
        <v/>
      </c>
      <c r="F13" s="8">
        <f>E13*0.437</f>
        <v/>
      </c>
      <c r="G13" s="8">
        <f>E13*0.196</f>
        <v/>
      </c>
      <c r="H13" s="8">
        <f>E13*0.041</f>
        <v/>
      </c>
      <c r="I13" s="8" t="n">
        <v>3234.68</v>
      </c>
      <c r="J13" s="8" t="n">
        <v>3800</v>
      </c>
      <c r="K13" s="8">
        <f>SUM(F13:J13)</f>
        <v/>
      </c>
      <c r="L13" s="8">
        <f>E13-K13</f>
        <v/>
      </c>
      <c r="M13" s="9">
        <f>IF(E13=0,"",L13/E13)</f>
        <v/>
      </c>
    </row>
    <row r="14">
      <c r="A14" s="5" t="inlineStr">
        <is>
          <t>marzo</t>
        </is>
      </c>
      <c r="B14" s="5" t="inlineStr">
        <is>
          <t>Linea 3</t>
        </is>
      </c>
      <c r="C14" s="6" t="n">
        <v>58529</v>
      </c>
      <c r="D14" s="7" t="n">
        <v>1.633</v>
      </c>
      <c r="E14" s="8">
        <f>C14*D14</f>
        <v/>
      </c>
      <c r="F14" s="8">
        <f>E14*0.455</f>
        <v/>
      </c>
      <c r="G14" s="8">
        <f>E14*0.131</f>
        <v/>
      </c>
      <c r="H14" s="8">
        <f>E14*0.089</f>
        <v/>
      </c>
      <c r="I14" s="8" t="n">
        <v>2496.55</v>
      </c>
      <c r="J14" s="8" t="n">
        <v>7400</v>
      </c>
      <c r="K14" s="8">
        <f>SUM(F14:J14)</f>
        <v/>
      </c>
      <c r="L14" s="8">
        <f>E14-K14</f>
        <v/>
      </c>
      <c r="M14" s="9">
        <f>IF(E14=0,"",L14/E14)</f>
        <v/>
      </c>
    </row>
    <row r="15">
      <c r="A15" s="5" t="inlineStr">
        <is>
          <t>aprile</t>
        </is>
      </c>
      <c r="B15" s="5" t="inlineStr">
        <is>
          <t>Linea 1</t>
        </is>
      </c>
      <c r="C15" s="6" t="n">
        <v>186694</v>
      </c>
      <c r="D15" s="7" t="n">
        <v>0.7429</v>
      </c>
      <c r="E15" s="8">
        <f>C15*D15</f>
        <v/>
      </c>
      <c r="F15" s="8">
        <f>E15*0.412</f>
        <v/>
      </c>
      <c r="G15" s="8">
        <f>E15*0.148</f>
        <v/>
      </c>
      <c r="H15" s="8">
        <f>E15*0.052</f>
        <v/>
      </c>
      <c r="I15" s="8" t="n">
        <v>2073.85</v>
      </c>
      <c r="J15" s="8" t="n">
        <v>5100</v>
      </c>
      <c r="K15" s="8">
        <f>SUM(F15:J15)</f>
        <v/>
      </c>
      <c r="L15" s="8">
        <f>E15-K15</f>
        <v/>
      </c>
      <c r="M15" s="9">
        <f>IF(E15=0,"",L15/E15)</f>
        <v/>
      </c>
    </row>
    <row r="16">
      <c r="A16" s="5" t="inlineStr">
        <is>
          <t>aprile</t>
        </is>
      </c>
      <c r="B16" s="5" t="inlineStr">
        <is>
          <t>Linea 2</t>
        </is>
      </c>
      <c r="C16" s="6" t="n">
        <v>106471</v>
      </c>
      <c r="D16" s="7" t="n">
        <v>1.1866</v>
      </c>
      <c r="E16" s="8">
        <f>C16*D16</f>
        <v/>
      </c>
      <c r="F16" s="8">
        <f>E16*0.437</f>
        <v/>
      </c>
      <c r="G16" s="8">
        <f>E16*0.196</f>
        <v/>
      </c>
      <c r="H16" s="8">
        <f>E16*0.041</f>
        <v/>
      </c>
      <c r="I16" s="8" t="n">
        <v>3686.26</v>
      </c>
      <c r="J16" s="8" t="n">
        <v>3800</v>
      </c>
      <c r="K16" s="8">
        <f>SUM(F16:J16)</f>
        <v/>
      </c>
      <c r="L16" s="8">
        <f>E16-K16</f>
        <v/>
      </c>
      <c r="M16" s="9">
        <f>IF(E16=0,"",L16/E16)</f>
        <v/>
      </c>
    </row>
    <row r="17">
      <c r="A17" s="5" t="inlineStr">
        <is>
          <t>aprile</t>
        </is>
      </c>
      <c r="B17" s="5" t="inlineStr">
        <is>
          <t>Linea 3</t>
        </is>
      </c>
      <c r="C17" s="6" t="n">
        <v>60138</v>
      </c>
      <c r="D17" s="7" t="n">
        <v>1.6498</v>
      </c>
      <c r="E17" s="8">
        <f>C17*D17</f>
        <v/>
      </c>
      <c r="F17" s="8">
        <f>E17*0.455</f>
        <v/>
      </c>
      <c r="G17" s="8">
        <f>E17*0.131</f>
        <v/>
      </c>
      <c r="H17" s="8">
        <f>E17*0.089</f>
        <v/>
      </c>
      <c r="I17" s="8" t="n">
        <v>1965.9</v>
      </c>
      <c r="J17" s="8" t="n">
        <v>7400</v>
      </c>
      <c r="K17" s="8">
        <f>SUM(F17:J17)</f>
        <v/>
      </c>
      <c r="L17" s="8">
        <f>E17-K17</f>
        <v/>
      </c>
      <c r="M17" s="9">
        <f>IF(E17=0,"",L17/E17)</f>
        <v/>
      </c>
    </row>
    <row r="18">
      <c r="A18" s="5" t="inlineStr">
        <is>
          <t>maggio</t>
        </is>
      </c>
      <c r="B18" s="5" t="inlineStr">
        <is>
          <t>Linea 1</t>
        </is>
      </c>
      <c r="C18" s="6" t="n">
        <v>189528</v>
      </c>
      <c r="D18" s="7" t="n">
        <v>0.7383999999999999</v>
      </c>
      <c r="E18" s="8">
        <f>C18*D18</f>
        <v/>
      </c>
      <c r="F18" s="8">
        <f>E18*0.412</f>
        <v/>
      </c>
      <c r="G18" s="8">
        <f>E18*0.148</f>
        <v/>
      </c>
      <c r="H18" s="8">
        <f>E18*0.052</f>
        <v/>
      </c>
      <c r="I18" s="8" t="n">
        <v>3715.87</v>
      </c>
      <c r="J18" s="8" t="n">
        <v>5100</v>
      </c>
      <c r="K18" s="8">
        <f>SUM(F18:J18)</f>
        <v/>
      </c>
      <c r="L18" s="8">
        <f>E18-K18</f>
        <v/>
      </c>
      <c r="M18" s="9">
        <f>IF(E18=0,"",L18/E18)</f>
        <v/>
      </c>
    </row>
    <row r="19">
      <c r="A19" s="5" t="inlineStr">
        <is>
          <t>maggio</t>
        </is>
      </c>
      <c r="B19" s="5" t="inlineStr">
        <is>
          <t>Linea 2</t>
        </is>
      </c>
      <c r="C19" s="6" t="n">
        <v>111987</v>
      </c>
      <c r="D19" s="7" t="n">
        <v>1.1803</v>
      </c>
      <c r="E19" s="8">
        <f>C19*D19</f>
        <v/>
      </c>
      <c r="F19" s="8">
        <f>E19*0.437</f>
        <v/>
      </c>
      <c r="G19" s="8">
        <f>E19*0.196</f>
        <v/>
      </c>
      <c r="H19" s="8">
        <f>E19*0.041</f>
        <v/>
      </c>
      <c r="I19" s="8" t="n">
        <v>3955.31</v>
      </c>
      <c r="J19" s="8" t="n">
        <v>3800</v>
      </c>
      <c r="K19" s="8">
        <f>SUM(F19:J19)</f>
        <v/>
      </c>
      <c r="L19" s="8">
        <f>E19-K19</f>
        <v/>
      </c>
      <c r="M19" s="9">
        <f>IF(E19=0,"",L19/E19)</f>
        <v/>
      </c>
    </row>
    <row r="20">
      <c r="A20" s="5" t="inlineStr">
        <is>
          <t>maggio</t>
        </is>
      </c>
      <c r="B20" s="5" t="inlineStr">
        <is>
          <t>Linea 3</t>
        </is>
      </c>
      <c r="C20" s="6" t="n">
        <v>62072</v>
      </c>
      <c r="D20" s="7" t="n">
        <v>1.6477</v>
      </c>
      <c r="E20" s="8">
        <f>C20*D20</f>
        <v/>
      </c>
      <c r="F20" s="8">
        <f>E20*0.455</f>
        <v/>
      </c>
      <c r="G20" s="8">
        <f>E20*0.131</f>
        <v/>
      </c>
      <c r="H20" s="8">
        <f>E20*0.089</f>
        <v/>
      </c>
      <c r="I20" s="8" t="n">
        <v>3220.21</v>
      </c>
      <c r="J20" s="8" t="n">
        <v>7400</v>
      </c>
      <c r="K20" s="8">
        <f>SUM(F20:J20)</f>
        <v/>
      </c>
      <c r="L20" s="8">
        <f>E20-K20</f>
        <v/>
      </c>
      <c r="M20" s="9">
        <f>IF(E20=0,"",L20/E20)</f>
        <v/>
      </c>
    </row>
    <row r="21">
      <c r="A21" s="10" t="inlineStr">
        <is>
          <t>--- da qui in poi BUDGET, sopra CONSUNTIVO ---</t>
        </is>
      </c>
    </row>
    <row r="23">
      <c r="A23" s="5" t="inlineStr">
        <is>
          <t>giugno</t>
        </is>
      </c>
      <c r="B23" s="5" t="inlineStr">
        <is>
          <t>Linea 1</t>
        </is>
      </c>
      <c r="C23" s="6" t="n">
        <v>184600</v>
      </c>
      <c r="D23" s="7" t="n">
        <v>0.7387</v>
      </c>
      <c r="E23" s="8">
        <f>C23*D23</f>
        <v/>
      </c>
      <c r="F23" s="8">
        <f>E23*0.412</f>
        <v/>
      </c>
      <c r="G23" s="8">
        <f>E23*0.148</f>
        <v/>
      </c>
      <c r="H23" s="8">
        <f>E23*0.052</f>
        <v/>
      </c>
      <c r="I23" s="8" t="n">
        <v>2267.99</v>
      </c>
      <c r="J23" s="8" t="n">
        <v>5100</v>
      </c>
      <c r="K23" s="8">
        <f>SUM(F23:J23)</f>
        <v/>
      </c>
      <c r="L23" s="8">
        <f>E23-K23</f>
        <v/>
      </c>
      <c r="M23" s="9">
        <f>IF(E23=0,"",L23/E23)</f>
        <v/>
      </c>
    </row>
    <row r="24">
      <c r="A24" s="5" t="inlineStr">
        <is>
          <t>giugno</t>
        </is>
      </c>
      <c r="B24" s="5" t="inlineStr">
        <is>
          <t>Linea 2</t>
        </is>
      </c>
      <c r="C24" s="6" t="n">
        <v>104363</v>
      </c>
      <c r="D24" s="7" t="n">
        <v>1.1906</v>
      </c>
      <c r="E24" s="8">
        <f>C24*D24</f>
        <v/>
      </c>
      <c r="F24" s="8">
        <f>E24*0.437</f>
        <v/>
      </c>
      <c r="G24" s="8">
        <f>E24*0.196</f>
        <v/>
      </c>
      <c r="H24" s="8">
        <f>E24*0.041</f>
        <v/>
      </c>
      <c r="I24" s="8" t="n">
        <v>3795.16</v>
      </c>
      <c r="J24" s="8" t="n">
        <v>3800</v>
      </c>
      <c r="K24" s="8">
        <f>SUM(F24:J24)</f>
        <v/>
      </c>
      <c r="L24" s="8">
        <f>E24-K24</f>
        <v/>
      </c>
      <c r="M24" s="9">
        <f>IF(E24=0,"",L24/E24)</f>
        <v/>
      </c>
    </row>
    <row r="25">
      <c r="A25" s="5" t="inlineStr">
        <is>
          <t>giugno</t>
        </is>
      </c>
      <c r="B25" s="5" t="inlineStr">
        <is>
          <t>Linea 3</t>
        </is>
      </c>
      <c r="C25" s="6" t="n">
        <v>57987</v>
      </c>
      <c r="D25" s="7" t="n">
        <v>1.643</v>
      </c>
      <c r="E25" s="8">
        <f>C25*D25</f>
        <v/>
      </c>
      <c r="F25" s="8">
        <f>E25*0.455</f>
        <v/>
      </c>
      <c r="G25" s="8">
        <f>E25*0.131</f>
        <v/>
      </c>
      <c r="H25" s="8">
        <f>E25*0.089</f>
        <v/>
      </c>
      <c r="I25" s="8" t="n">
        <v>4156.08</v>
      </c>
      <c r="J25" s="8" t="n">
        <v>7400</v>
      </c>
      <c r="K25" s="8">
        <f>SUM(F25:J25)</f>
        <v/>
      </c>
      <c r="L25" s="8">
        <f>E25-K25</f>
        <v/>
      </c>
      <c r="M25" s="9">
        <f>IF(E25=0,"",L25/E25)</f>
        <v/>
      </c>
    </row>
    <row r="26">
      <c r="A26" s="5" t="inlineStr">
        <is>
          <t>luglio</t>
        </is>
      </c>
      <c r="B26" s="5" t="inlineStr">
        <is>
          <t>Linea 1</t>
        </is>
      </c>
      <c r="C26" s="6" t="n">
        <v>155087</v>
      </c>
      <c r="D26" s="7" t="n">
        <v>0.7439</v>
      </c>
      <c r="E26" s="8">
        <f>C26*D26</f>
        <v/>
      </c>
      <c r="F26" s="8">
        <f>E26*0.412</f>
        <v/>
      </c>
      <c r="G26" s="8">
        <f>E26*0.148</f>
        <v/>
      </c>
      <c r="H26" s="8">
        <f>E26*0.052</f>
        <v/>
      </c>
      <c r="I26" s="8" t="n">
        <v>3744.27</v>
      </c>
      <c r="J26" s="8" t="n">
        <v>5100</v>
      </c>
      <c r="K26" s="8">
        <f>SUM(F26:J26)</f>
        <v/>
      </c>
      <c r="L26" s="8">
        <f>E26-K26</f>
        <v/>
      </c>
      <c r="M26" s="9">
        <f>IF(E26=0,"",L26/E26)</f>
        <v/>
      </c>
    </row>
    <row r="27">
      <c r="A27" s="5" t="inlineStr">
        <is>
          <t>luglio</t>
        </is>
      </c>
      <c r="B27" s="5" t="inlineStr">
        <is>
          <t>Linea 2</t>
        </is>
      </c>
      <c r="C27" s="6" t="n">
        <v>87617</v>
      </c>
      <c r="D27" s="7" t="n">
        <v>1.1847</v>
      </c>
      <c r="E27" s="8">
        <f>C27*D27</f>
        <v/>
      </c>
      <c r="F27" s="8">
        <f>E27*0.437</f>
        <v/>
      </c>
      <c r="G27" s="8">
        <f>E27*0.196</f>
        <v/>
      </c>
      <c r="H27" s="8">
        <f>E27*0.041</f>
        <v/>
      </c>
      <c r="I27" s="8" t="n">
        <v>3186.82</v>
      </c>
      <c r="J27" s="8" t="n">
        <v>3800</v>
      </c>
      <c r="K27" s="8">
        <f>SUM(F27:J27)</f>
        <v/>
      </c>
      <c r="L27" s="8">
        <f>E27-K27</f>
        <v/>
      </c>
      <c r="M27" s="9">
        <f>IF(E27=0,"",L27/E27)</f>
        <v/>
      </c>
    </row>
    <row r="28">
      <c r="A28" s="5" t="inlineStr">
        <is>
          <t>luglio</t>
        </is>
      </c>
      <c r="B28" s="5" t="inlineStr">
        <is>
          <t>Linea 3</t>
        </is>
      </c>
      <c r="C28" s="6" t="n">
        <v>47609</v>
      </c>
      <c r="D28" s="7" t="n">
        <v>1.6383</v>
      </c>
      <c r="E28" s="8">
        <f>C28*D28</f>
        <v/>
      </c>
      <c r="F28" s="8">
        <f>E28*0.455</f>
        <v/>
      </c>
      <c r="G28" s="8">
        <f>E28*0.131</f>
        <v/>
      </c>
      <c r="H28" s="8">
        <f>E28*0.089</f>
        <v/>
      </c>
      <c r="I28" s="8" t="n">
        <v>2258.3</v>
      </c>
      <c r="J28" s="8" t="n">
        <v>7400</v>
      </c>
      <c r="K28" s="8">
        <f>SUM(F28:J28)</f>
        <v/>
      </c>
      <c r="L28" s="8">
        <f>E28-K28</f>
        <v/>
      </c>
      <c r="M28" s="9">
        <f>IF(E28=0,"",L28/E28)</f>
        <v/>
      </c>
    </row>
    <row r="29">
      <c r="A29" s="5" t="inlineStr">
        <is>
          <t>agosto</t>
        </is>
      </c>
      <c r="B29" s="5" t="inlineStr">
        <is>
          <t>Linea 1</t>
        </is>
      </c>
      <c r="C29" s="6" t="n">
        <v>144193</v>
      </c>
      <c r="D29" s="7" t="n">
        <v>0.7463</v>
      </c>
      <c r="E29" s="8">
        <f>C29*D29</f>
        <v/>
      </c>
      <c r="F29" s="8">
        <f>E29*0.412</f>
        <v/>
      </c>
      <c r="G29" s="8">
        <f>E29*0.148</f>
        <v/>
      </c>
      <c r="H29" s="8">
        <f>E29*0.052</f>
        <v/>
      </c>
      <c r="I29" s="8" t="n">
        <v>2842.15</v>
      </c>
      <c r="J29" s="8" t="n">
        <v>5100</v>
      </c>
      <c r="K29" s="8">
        <f>SUM(F29:J29)</f>
        <v/>
      </c>
      <c r="L29" s="8">
        <f>E29-K29</f>
        <v/>
      </c>
      <c r="M29" s="9">
        <f>IF(E29=0,"",L29/E29)</f>
        <v/>
      </c>
    </row>
    <row r="30">
      <c r="A30" s="5" t="inlineStr">
        <is>
          <t>agosto</t>
        </is>
      </c>
      <c r="B30" s="5" t="inlineStr">
        <is>
          <t>Linea 2</t>
        </is>
      </c>
      <c r="C30" s="6" t="n">
        <v>78931</v>
      </c>
      <c r="D30" s="7" t="n">
        <v>1.1825</v>
      </c>
      <c r="E30" s="8">
        <f>C30*D30</f>
        <v/>
      </c>
      <c r="F30" s="8">
        <f>E30*0.437</f>
        <v/>
      </c>
      <c r="G30" s="8">
        <f>E30*0.196</f>
        <v/>
      </c>
      <c r="H30" s="8">
        <f>E30*0.041</f>
        <v/>
      </c>
      <c r="I30" s="8" t="n">
        <v>2443.96</v>
      </c>
      <c r="J30" s="8" t="n">
        <v>3800</v>
      </c>
      <c r="K30" s="8">
        <f>SUM(F30:J30)</f>
        <v/>
      </c>
      <c r="L30" s="8">
        <f>E30-K30</f>
        <v/>
      </c>
      <c r="M30" s="9">
        <f>IF(E30=0,"",L30/E30)</f>
        <v/>
      </c>
    </row>
    <row r="31">
      <c r="A31" s="5" t="inlineStr">
        <is>
          <t>agosto</t>
        </is>
      </c>
      <c r="B31" s="5" t="inlineStr">
        <is>
          <t>Linea 3</t>
        </is>
      </c>
      <c r="C31" s="6" t="n">
        <v>44030</v>
      </c>
      <c r="D31" s="7" t="n">
        <v>1.6427</v>
      </c>
      <c r="E31" s="8">
        <f>C31*D31</f>
        <v/>
      </c>
      <c r="F31" s="8">
        <f>E31*0.455</f>
        <v/>
      </c>
      <c r="G31" s="8">
        <f>E31*0.131</f>
        <v/>
      </c>
      <c r="H31" s="8">
        <f>E31*0.089</f>
        <v/>
      </c>
      <c r="I31" s="8" t="n">
        <v>2693.2</v>
      </c>
      <c r="J31" s="8" t="n">
        <v>7400</v>
      </c>
      <c r="K31" s="8">
        <f>SUM(F31:J31)</f>
        <v/>
      </c>
      <c r="L31" s="8">
        <f>E31-K31</f>
        <v/>
      </c>
      <c r="M31" s="9">
        <f>IF(E31=0,"",L31/E31)</f>
        <v/>
      </c>
    </row>
    <row r="32">
      <c r="A32" s="5" t="inlineStr">
        <is>
          <t>settembre</t>
        </is>
      </c>
      <c r="B32" s="5" t="inlineStr">
        <is>
          <t>Linea 1</t>
        </is>
      </c>
      <c r="C32" s="6" t="n">
        <v>179745</v>
      </c>
      <c r="D32" s="7" t="n">
        <v>0.7417</v>
      </c>
      <c r="E32" s="8">
        <f>C32*D32</f>
        <v/>
      </c>
      <c r="F32" s="8">
        <f>E32*0.412</f>
        <v/>
      </c>
      <c r="G32" s="8">
        <f>E32*0.148</f>
        <v/>
      </c>
      <c r="H32" s="8">
        <f>E32*0.052</f>
        <v/>
      </c>
      <c r="I32" s="8" t="n">
        <v>2446.97</v>
      </c>
      <c r="J32" s="8" t="n">
        <v>5100</v>
      </c>
      <c r="K32" s="8">
        <f>SUM(F32:J32)</f>
        <v/>
      </c>
      <c r="L32" s="8">
        <f>E32-K32</f>
        <v/>
      </c>
      <c r="M32" s="9">
        <f>IF(E32=0,"",L32/E32)</f>
        <v/>
      </c>
    </row>
    <row r="33">
      <c r="A33" s="5" t="inlineStr">
        <is>
          <t>settembre</t>
        </is>
      </c>
      <c r="B33" s="5" t="inlineStr">
        <is>
          <t>Linea 2</t>
        </is>
      </c>
      <c r="C33" s="6" t="n">
        <v>102425</v>
      </c>
      <c r="D33" s="7" t="n">
        <v>1.1861</v>
      </c>
      <c r="E33" s="8">
        <f>C33*D33</f>
        <v/>
      </c>
      <c r="F33" s="8">
        <f>E33*0.437</f>
        <v/>
      </c>
      <c r="G33" s="8">
        <f>E33*0.196</f>
        <v/>
      </c>
      <c r="H33" s="8">
        <f>E33*0.041</f>
        <v/>
      </c>
      <c r="I33" s="8" t="n">
        <v>1986.61</v>
      </c>
      <c r="J33" s="8" t="n">
        <v>3800</v>
      </c>
      <c r="K33" s="8">
        <f>SUM(F33:J33)</f>
        <v/>
      </c>
      <c r="L33" s="8">
        <f>E33-K33</f>
        <v/>
      </c>
      <c r="M33" s="9">
        <f>IF(E33=0,"",L33/E33)</f>
        <v/>
      </c>
    </row>
    <row r="34">
      <c r="A34" s="5" t="inlineStr">
        <is>
          <t>settembre</t>
        </is>
      </c>
      <c r="B34" s="5" t="inlineStr">
        <is>
          <t>Linea 3</t>
        </is>
      </c>
      <c r="C34" s="6" t="n">
        <v>57961</v>
      </c>
      <c r="D34" s="7" t="n">
        <v>1.6441</v>
      </c>
      <c r="E34" s="8">
        <f>C34*D34</f>
        <v/>
      </c>
      <c r="F34" s="8">
        <f>E34*0.455</f>
        <v/>
      </c>
      <c r="G34" s="8">
        <f>E34*0.131</f>
        <v/>
      </c>
      <c r="H34" s="8">
        <f>E34*0.089</f>
        <v/>
      </c>
      <c r="I34" s="8" t="n">
        <v>3252.51</v>
      </c>
      <c r="J34" s="8" t="n">
        <v>7400</v>
      </c>
      <c r="K34" s="8">
        <f>SUM(F34:J34)</f>
        <v/>
      </c>
      <c r="L34" s="8">
        <f>E34-K34</f>
        <v/>
      </c>
      <c r="M34" s="9">
        <f>IF(E34=0,"",L34/E34)</f>
        <v/>
      </c>
    </row>
    <row r="35">
      <c r="A35" s="5" t="inlineStr">
        <is>
          <t>ottobre</t>
        </is>
      </c>
      <c r="B35" s="5" t="inlineStr">
        <is>
          <t>Linea 1</t>
        </is>
      </c>
      <c r="C35" s="6" t="n">
        <v>178849</v>
      </c>
      <c r="D35" s="7" t="n">
        <v>0.7469</v>
      </c>
      <c r="E35" s="8">
        <f>C35*D35</f>
        <v/>
      </c>
      <c r="F35" s="8">
        <f>E35*0.412</f>
        <v/>
      </c>
      <c r="G35" s="8">
        <f>E35*0.148</f>
        <v/>
      </c>
      <c r="H35" s="8">
        <f>E35*0.052</f>
        <v/>
      </c>
      <c r="I35" s="8" t="n">
        <v>3768.4</v>
      </c>
      <c r="J35" s="8" t="n">
        <v>5100</v>
      </c>
      <c r="K35" s="8">
        <f>SUM(F35:J35)</f>
        <v/>
      </c>
      <c r="L35" s="8">
        <f>E35-K35</f>
        <v/>
      </c>
      <c r="M35" s="9">
        <f>IF(E35=0,"",L35/E35)</f>
        <v/>
      </c>
    </row>
    <row r="36">
      <c r="A36" s="5" t="inlineStr">
        <is>
          <t>ottobre</t>
        </is>
      </c>
      <c r="B36" s="5" t="inlineStr">
        <is>
          <t>Linea 2</t>
        </is>
      </c>
      <c r="C36" s="6" t="n">
        <v>106427</v>
      </c>
      <c r="D36" s="7" t="n">
        <v>1.1944</v>
      </c>
      <c r="E36" s="8">
        <f>C36*D36</f>
        <v/>
      </c>
      <c r="F36" s="8">
        <f>E36*0.437</f>
        <v/>
      </c>
      <c r="G36" s="8">
        <f>E36*0.196</f>
        <v/>
      </c>
      <c r="H36" s="8">
        <f>E36*0.041</f>
        <v/>
      </c>
      <c r="I36" s="8" t="n">
        <v>2273.07</v>
      </c>
      <c r="J36" s="8" t="n">
        <v>3800</v>
      </c>
      <c r="K36" s="8">
        <f>SUM(F36:J36)</f>
        <v/>
      </c>
      <c r="L36" s="8">
        <f>E36-K36</f>
        <v/>
      </c>
      <c r="M36" s="9">
        <f>IF(E36=0,"",L36/E36)</f>
        <v/>
      </c>
    </row>
    <row r="37">
      <c r="A37" s="5" t="inlineStr">
        <is>
          <t>ottobre</t>
        </is>
      </c>
      <c r="B37" s="5" t="inlineStr">
        <is>
          <t>Linea 3</t>
        </is>
      </c>
      <c r="C37" s="6" t="n">
        <v>60118</v>
      </c>
      <c r="D37" s="7" t="n">
        <v>1.6403</v>
      </c>
      <c r="E37" s="8">
        <f>C37*D37</f>
        <v/>
      </c>
      <c r="F37" s="8">
        <f>E37*0.455</f>
        <v/>
      </c>
      <c r="G37" s="8">
        <f>E37*0.131</f>
        <v/>
      </c>
      <c r="H37" s="8">
        <f>E37*0.089</f>
        <v/>
      </c>
      <c r="I37" s="8" t="n">
        <v>4039.99</v>
      </c>
      <c r="J37" s="8" t="n">
        <v>7400</v>
      </c>
      <c r="K37" s="8">
        <f>SUM(F37:J37)</f>
        <v/>
      </c>
      <c r="L37" s="8">
        <f>E37-K37</f>
        <v/>
      </c>
      <c r="M37" s="9">
        <f>IF(E37=0,"",L37/E37)</f>
        <v/>
      </c>
    </row>
    <row r="38">
      <c r="A38" s="5" t="inlineStr">
        <is>
          <t>novembre</t>
        </is>
      </c>
      <c r="B38" s="5" t="inlineStr">
        <is>
          <t>Linea 1</t>
        </is>
      </c>
      <c r="C38" s="6" t="n">
        <v>187500</v>
      </c>
      <c r="D38" s="7" t="n">
        <v>0.7441</v>
      </c>
      <c r="E38" s="8">
        <f>C38*D38</f>
        <v/>
      </c>
      <c r="F38" s="8">
        <f>E38*0.412</f>
        <v/>
      </c>
      <c r="G38" s="8">
        <f>E38*0.148</f>
        <v/>
      </c>
      <c r="H38" s="8">
        <f>E38*0.052</f>
        <v/>
      </c>
      <c r="I38" s="8" t="n">
        <v>2126.81</v>
      </c>
      <c r="J38" s="8" t="n">
        <v>5100</v>
      </c>
      <c r="K38" s="8">
        <f>SUM(F38:J38)</f>
        <v/>
      </c>
      <c r="L38" s="8">
        <f>E38-K38</f>
        <v/>
      </c>
      <c r="M38" s="9">
        <f>IF(E38=0,"",L38/E38)</f>
        <v/>
      </c>
    </row>
    <row r="39">
      <c r="A39" s="5" t="inlineStr">
        <is>
          <t>novembre</t>
        </is>
      </c>
      <c r="B39" s="5" t="inlineStr">
        <is>
          <t>Linea 2</t>
        </is>
      </c>
      <c r="C39" s="6" t="n">
        <v>107237</v>
      </c>
      <c r="D39" s="7" t="n">
        <v>1.1871</v>
      </c>
      <c r="E39" s="8">
        <f>C39*D39</f>
        <v/>
      </c>
      <c r="F39" s="8">
        <f>E39*0.437</f>
        <v/>
      </c>
      <c r="G39" s="8">
        <f>E39*0.196</f>
        <v/>
      </c>
      <c r="H39" s="8">
        <f>E39*0.041</f>
        <v/>
      </c>
      <c r="I39" s="8" t="n">
        <v>2645.07</v>
      </c>
      <c r="J39" s="8" t="n">
        <v>3800</v>
      </c>
      <c r="K39" s="8">
        <f>SUM(F39:J39)</f>
        <v/>
      </c>
      <c r="L39" s="8">
        <f>E39-K39</f>
        <v/>
      </c>
      <c r="M39" s="9">
        <f>IF(E39=0,"",L39/E39)</f>
        <v/>
      </c>
    </row>
    <row r="40">
      <c r="A40" s="5" t="inlineStr">
        <is>
          <t>novembre</t>
        </is>
      </c>
      <c r="B40" s="5" t="inlineStr">
        <is>
          <t>Linea 3</t>
        </is>
      </c>
      <c r="C40" s="6" t="n">
        <v>59176</v>
      </c>
      <c r="D40" s="7" t="n">
        <v>1.6371</v>
      </c>
      <c r="E40" s="8">
        <f>C40*D40</f>
        <v/>
      </c>
      <c r="F40" s="8">
        <f>E40*0.455</f>
        <v/>
      </c>
      <c r="G40" s="8">
        <f>E40*0.131</f>
        <v/>
      </c>
      <c r="H40" s="8">
        <f>E40*0.089</f>
        <v/>
      </c>
      <c r="I40" s="8" t="n">
        <v>2781.29</v>
      </c>
      <c r="J40" s="8" t="n">
        <v>7400</v>
      </c>
      <c r="K40" s="8">
        <f>SUM(F40:J40)</f>
        <v/>
      </c>
      <c r="L40" s="8">
        <f>E40-K40</f>
        <v/>
      </c>
      <c r="M40" s="9">
        <f>IF(E40=0,"",L40/E40)</f>
        <v/>
      </c>
    </row>
    <row r="41">
      <c r="A41" s="5" t="inlineStr">
        <is>
          <t>dicembre</t>
        </is>
      </c>
      <c r="B41" s="5" t="inlineStr">
        <is>
          <t>Linea 1</t>
        </is>
      </c>
      <c r="C41" s="6" t="n">
        <v>196450</v>
      </c>
      <c r="D41" s="7" t="n">
        <v>0.7388</v>
      </c>
      <c r="E41" s="8">
        <f>C41*D41</f>
        <v/>
      </c>
      <c r="F41" s="8">
        <f>E41*0.412</f>
        <v/>
      </c>
      <c r="G41" s="8">
        <f>E41*0.148</f>
        <v/>
      </c>
      <c r="H41" s="8">
        <f>E41*0.052</f>
        <v/>
      </c>
      <c r="I41" s="8" t="n">
        <v>4194.98</v>
      </c>
      <c r="J41" s="8" t="n">
        <v>5100</v>
      </c>
      <c r="K41" s="8">
        <f>SUM(F41:J41)</f>
        <v/>
      </c>
      <c r="L41" s="8">
        <f>E41-K41</f>
        <v/>
      </c>
      <c r="M41" s="9">
        <f>IF(E41=0,"",L41/E41)</f>
        <v/>
      </c>
    </row>
    <row r="42">
      <c r="A42" s="5" t="inlineStr">
        <is>
          <t>dicembre</t>
        </is>
      </c>
      <c r="B42" s="5" t="inlineStr">
        <is>
          <t>Linea 2</t>
        </is>
      </c>
      <c r="C42" s="6" t="n">
        <v>112032</v>
      </c>
      <c r="D42" s="7" t="n">
        <v>1.1929</v>
      </c>
      <c r="E42" s="8">
        <f>C42*D42</f>
        <v/>
      </c>
      <c r="F42" s="8">
        <f>E42*0.437</f>
        <v/>
      </c>
      <c r="G42" s="8">
        <f>E42*0.196</f>
        <v/>
      </c>
      <c r="H42" s="8">
        <f>E42*0.041</f>
        <v/>
      </c>
      <c r="I42" s="8" t="n">
        <v>1823.63</v>
      </c>
      <c r="J42" s="8" t="n">
        <v>3800</v>
      </c>
      <c r="K42" s="8">
        <f>SUM(F42:J42)</f>
        <v/>
      </c>
      <c r="L42" s="8">
        <f>E42-K42</f>
        <v/>
      </c>
      <c r="M42" s="9">
        <f>IF(E42=0,"",L42/E42)</f>
        <v/>
      </c>
    </row>
    <row r="43">
      <c r="A43" s="5" t="inlineStr">
        <is>
          <t>dicembre</t>
        </is>
      </c>
      <c r="B43" s="5" t="inlineStr">
        <is>
          <t>Linea 3</t>
        </is>
      </c>
      <c r="C43" s="6" t="n">
        <v>63000</v>
      </c>
      <c r="D43" s="7" t="n">
        <v>1.6504</v>
      </c>
      <c r="E43" s="8">
        <f>C43*D43</f>
        <v/>
      </c>
      <c r="F43" s="8">
        <f>E43*0.455</f>
        <v/>
      </c>
      <c r="G43" s="8">
        <f>E43*0.131</f>
        <v/>
      </c>
      <c r="H43" s="8">
        <f>E43*0.089</f>
        <v/>
      </c>
      <c r="I43" s="8" t="n">
        <v>2647.19</v>
      </c>
      <c r="J43" s="8" t="n">
        <v>7400</v>
      </c>
      <c r="K43" s="8">
        <f>SUM(F43:J43)</f>
        <v/>
      </c>
      <c r="L43" s="8">
        <f>E43-K43</f>
        <v/>
      </c>
      <c r="M43" s="9">
        <f>IF(E43=0,"",L43/E43)</f>
        <v/>
      </c>
    </row>
    <row r="44">
      <c r="A44" s="4" t="inlineStr">
        <is>
          <t>TOTALE 2026</t>
        </is>
      </c>
      <c r="C44" s="11">
        <f>SUM(C6:C43)</f>
        <v/>
      </c>
      <c r="E44" s="12">
        <f>SUM(E6:E43)</f>
        <v/>
      </c>
      <c r="F44" s="12">
        <f>SUM(F6:F43)</f>
        <v/>
      </c>
      <c r="G44" s="12">
        <f>SUM(G6:G43)</f>
        <v/>
      </c>
      <c r="H44" s="12">
        <f>SUM(H6:H43)</f>
        <v/>
      </c>
      <c r="I44" s="12">
        <f>SUM(I6:I43)</f>
        <v/>
      </c>
      <c r="J44" s="12">
        <f>SUM(J6:J43)</f>
        <v/>
      </c>
      <c r="K44" s="12">
        <f>SUM(K6:K43)</f>
        <v/>
      </c>
      <c r="L44" s="12">
        <f>SUM(L6:L43)</f>
        <v/>
      </c>
      <c r="M44" s="13">
        <f>L44/E44</f>
        <v/>
      </c>
    </row>
  </sheetData>
  <autoFilter ref="A5:M43"/>
  <mergeCells count="1"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9" customWidth="1" min="8" max="8"/>
    <col width="44" customWidth="1" min="9" max="9"/>
  </cols>
  <sheetData>
    <row r="1">
      <c r="A1" s="1" t="inlineStr">
        <is>
          <t>Consuntivo gennaio - maggio 2026 (da contabilità analitica)</t>
        </is>
      </c>
    </row>
    <row r="2">
      <c r="A2" s="2" t="inlineStr">
        <is>
          <t>estratto dal gestionale il 02/06/2026 - controllare quadratura con bilancio di verifica</t>
        </is>
      </c>
    </row>
    <row r="5" ht="28" customHeight="1">
      <c r="A5" s="3" t="inlineStr">
        <is>
          <t>Mese</t>
        </is>
      </c>
      <c r="B5" s="3" t="inlineStr">
        <is>
          <t>Linea</t>
        </is>
      </c>
      <c r="C5" s="3" t="inlineStr">
        <is>
          <t>Ricavi cons.</t>
        </is>
      </c>
      <c r="D5" s="3" t="inlineStr">
        <is>
          <t>Costi cons.</t>
        </is>
      </c>
      <c r="E5" s="3" t="inlineStr">
        <is>
          <t>MdC cons.</t>
        </is>
      </c>
      <c r="F5" s="3" t="inlineStr">
        <is>
          <t>MdC budget</t>
        </is>
      </c>
      <c r="G5" s="3" t="inlineStr">
        <is>
          <t>Delta €</t>
        </is>
      </c>
      <c r="H5" s="3" t="inlineStr">
        <is>
          <t>Delta %</t>
        </is>
      </c>
      <c r="I5" s="3" t="inlineStr">
        <is>
          <t>Note</t>
        </is>
      </c>
    </row>
    <row r="6">
      <c r="A6" s="5" t="inlineStr">
        <is>
          <t>gennaio</t>
        </is>
      </c>
      <c r="B6" s="5" t="inlineStr">
        <is>
          <t>Linea 1</t>
        </is>
      </c>
      <c r="C6" s="8" t="n">
        <v>170018.85</v>
      </c>
      <c r="D6" s="8" t="n">
        <v>151644</v>
      </c>
      <c r="E6" s="8">
        <f>C6-D6</f>
        <v/>
      </c>
      <c r="F6" s="8" t="n">
        <v>16162.28</v>
      </c>
      <c r="G6" s="8">
        <f>E6-F6</f>
        <v/>
      </c>
      <c r="H6" s="9">
        <f>IF(F6=0,"n.d.",G6/F6)</f>
        <v/>
      </c>
      <c r="I6" s="5" t="inlineStr"/>
    </row>
    <row r="7">
      <c r="A7" s="5" t="inlineStr">
        <is>
          <t>gennaio</t>
        </is>
      </c>
      <c r="B7" s="5" t="inlineStr">
        <is>
          <t>Linea 2</t>
        </is>
      </c>
      <c r="C7" s="8" t="n">
        <v>240078.1</v>
      </c>
      <c r="D7" s="8" t="n">
        <v>203666.22</v>
      </c>
      <c r="E7" s="8">
        <f>C7-D7</f>
        <v/>
      </c>
      <c r="F7" s="8" t="n">
        <v>43331.41</v>
      </c>
      <c r="G7" s="8">
        <f>E7-F7</f>
        <v/>
      </c>
      <c r="H7" s="9">
        <f>IF(F7=0,"n.d.",G7/F7)</f>
        <v/>
      </c>
      <c r="I7" s="5" t="inlineStr"/>
    </row>
    <row r="8">
      <c r="A8" s="5" t="inlineStr">
        <is>
          <t>gennaio</t>
        </is>
      </c>
      <c r="B8" s="5" t="inlineStr">
        <is>
          <t>Linea 3</t>
        </is>
      </c>
      <c r="C8" s="8" t="n">
        <v>165694.35</v>
      </c>
      <c r="D8" s="8" t="n">
        <v>160308.46</v>
      </c>
      <c r="E8" s="8">
        <f>C8-D8</f>
        <v/>
      </c>
      <c r="F8" s="8" t="n">
        <v>22788.5</v>
      </c>
      <c r="G8" s="8">
        <f>E8-F8</f>
        <v/>
      </c>
      <c r="H8" s="9">
        <f>IF(F8=0,"n.d.",G8/F8)</f>
        <v/>
      </c>
      <c r="I8" s="5" t="inlineStr"/>
    </row>
    <row r="9">
      <c r="A9" s="5" t="inlineStr">
        <is>
          <t>febbraio</t>
        </is>
      </c>
      <c r="B9" s="5" t="inlineStr">
        <is>
          <t>Linea 1</t>
        </is>
      </c>
      <c r="C9" s="8" t="n">
        <v>226998.77</v>
      </c>
      <c r="D9" s="8" t="n">
        <v>183763.35</v>
      </c>
      <c r="E9" s="8">
        <f>C9-D9</f>
        <v/>
      </c>
      <c r="F9" s="8" t="n">
        <v>19509.9</v>
      </c>
      <c r="G9" s="8">
        <f>E9-F9</f>
        <v/>
      </c>
      <c r="H9" s="9">
        <f>IF(F9=0,"n.d.",G9/F9)</f>
        <v/>
      </c>
      <c r="I9" s="5" t="inlineStr"/>
    </row>
    <row r="10">
      <c r="A10" s="5" t="inlineStr">
        <is>
          <t>febbraio</t>
        </is>
      </c>
      <c r="B10" s="5" t="inlineStr">
        <is>
          <t>Linea 2</t>
        </is>
      </c>
      <c r="C10" s="8" t="n">
        <v>129450.54</v>
      </c>
      <c r="D10" s="8" t="n">
        <v>122988.43</v>
      </c>
      <c r="E10" s="8">
        <f>C10-D10</f>
        <v/>
      </c>
      <c r="F10" s="8" t="n">
        <v>15487.91</v>
      </c>
      <c r="G10" s="8">
        <f>E10-F10</f>
        <v/>
      </c>
      <c r="H10" s="9">
        <f>IF(F10=0,"n.d.",G10/F10)</f>
        <v/>
      </c>
      <c r="I10" s="5" t="inlineStr"/>
    </row>
    <row r="11">
      <c r="A11" s="5" t="inlineStr">
        <is>
          <t>febbraio</t>
        </is>
      </c>
      <c r="B11" s="5" t="inlineStr">
        <is>
          <t>Linea 3</t>
        </is>
      </c>
      <c r="C11" s="8" t="n">
        <v>209857.02</v>
      </c>
      <c r="D11" s="8" t="n">
        <v>187795.88</v>
      </c>
      <c r="E11" s="8">
        <f>C11-D11</f>
        <v/>
      </c>
      <c r="F11" s="8" t="n">
        <v>28780.02</v>
      </c>
      <c r="G11" s="8">
        <f>E11-F11</f>
        <v/>
      </c>
      <c r="H11" s="9">
        <f>IF(F11=0,"n.d.",G11/F11)</f>
        <v/>
      </c>
      <c r="I11" s="5" t="inlineStr"/>
    </row>
    <row r="12">
      <c r="A12" s="5" t="inlineStr">
        <is>
          <t>marzo</t>
        </is>
      </c>
      <c r="B12" s="5" t="inlineStr">
        <is>
          <t>Linea 1</t>
        </is>
      </c>
      <c r="C12" s="8" t="n">
        <v>215533.3</v>
      </c>
      <c r="D12" s="8" t="n">
        <v>196743.76</v>
      </c>
      <c r="E12" s="8">
        <f>C12-D12</f>
        <v/>
      </c>
      <c r="F12" s="8" t="n">
        <v>26386.7</v>
      </c>
      <c r="G12" s="8">
        <f>E12-F12</f>
        <v/>
      </c>
      <c r="H12" s="9">
        <f>IF(F12=0,"n.d.",G12/F12)</f>
        <v/>
      </c>
      <c r="I12" s="5" t="inlineStr"/>
    </row>
    <row r="13">
      <c r="A13" s="14" t="inlineStr">
        <is>
          <t>marzo</t>
        </is>
      </c>
      <c r="B13" s="14" t="inlineStr">
        <is>
          <t>Linea 2</t>
        </is>
      </c>
      <c r="C13" s="15" t="n">
        <v>115955.02</v>
      </c>
      <c r="D13" s="15" t="n">
        <v>107760.54</v>
      </c>
      <c r="E13" s="15">
        <f>C13-D13</f>
        <v/>
      </c>
      <c r="F13" s="15" t="n">
        <v>12886.49</v>
      </c>
      <c r="G13" s="15">
        <f>E13-F13</f>
        <v/>
      </c>
      <c r="H13" s="16">
        <f>IF(F13=0,"n.d.",G13/F13)</f>
        <v/>
      </c>
      <c r="I13" s="14" t="inlineStr">
        <is>
          <t>straordinari carnevale</t>
        </is>
      </c>
    </row>
    <row r="14">
      <c r="A14" s="5" t="inlineStr">
        <is>
          <t>marzo</t>
        </is>
      </c>
      <c r="B14" s="5" t="inlineStr">
        <is>
          <t>Linea 3</t>
        </is>
      </c>
      <c r="C14" s="8" t="n">
        <v>197926.45</v>
      </c>
      <c r="D14" s="8" t="n">
        <v>169225.7</v>
      </c>
      <c r="E14" s="8">
        <f>C14-D14</f>
        <v/>
      </c>
      <c r="F14" s="8" t="n">
        <v>29931.55</v>
      </c>
      <c r="G14" s="8">
        <f>E14-F14</f>
        <v/>
      </c>
      <c r="H14" s="9">
        <f>IF(F14=0,"n.d.",G14/F14)</f>
        <v/>
      </c>
      <c r="I14" s="5" t="inlineStr"/>
    </row>
    <row r="15">
      <c r="A15" s="5" t="inlineStr">
        <is>
          <t>aprile</t>
        </is>
      </c>
      <c r="B15" s="5" t="inlineStr">
        <is>
          <t>Linea 1</t>
        </is>
      </c>
      <c r="C15" s="8" t="n">
        <v>232944.96</v>
      </c>
      <c r="D15" s="8" t="n">
        <v>221201.22</v>
      </c>
      <c r="E15" s="8">
        <f>C15-D15</f>
        <v/>
      </c>
      <c r="F15" s="8" t="n">
        <v>29514.96</v>
      </c>
      <c r="G15" s="8">
        <f>E15-F15</f>
        <v/>
      </c>
      <c r="H15" s="9">
        <f>IF(F15=0,"n.d.",G15/F15)</f>
        <v/>
      </c>
      <c r="I15" s="5" t="inlineStr"/>
    </row>
    <row r="16">
      <c r="A16" s="5" t="inlineStr">
        <is>
          <t>aprile</t>
        </is>
      </c>
      <c r="B16" s="5" t="inlineStr">
        <is>
          <t>Linea 2</t>
        </is>
      </c>
      <c r="C16" s="8" t="n">
        <v>99153.02</v>
      </c>
      <c r="D16" s="8" t="n">
        <v>92585.47</v>
      </c>
      <c r="E16" s="8">
        <f>C16-D16</f>
        <v/>
      </c>
      <c r="F16" s="8" t="n">
        <v>13538.28</v>
      </c>
      <c r="G16" s="8">
        <f>E16-F16</f>
        <v/>
      </c>
      <c r="H16" s="9">
        <f>IF(F16=0,"n.d.",G16/F16)</f>
        <v/>
      </c>
      <c r="I16" s="5" t="inlineStr"/>
    </row>
    <row r="17">
      <c r="A17" s="5" t="inlineStr">
        <is>
          <t>aprile</t>
        </is>
      </c>
      <c r="B17" s="5" t="inlineStr">
        <is>
          <t>Linea 3</t>
        </is>
      </c>
      <c r="C17" s="8" t="n">
        <v>88457.55</v>
      </c>
      <c r="D17" s="8" t="n">
        <v>71326.72</v>
      </c>
      <c r="E17" s="8">
        <f>C17-D17</f>
        <v/>
      </c>
      <c r="F17" s="8" t="n">
        <v>9068.139999999999</v>
      </c>
      <c r="G17" s="8">
        <f>E17-F17</f>
        <v/>
      </c>
      <c r="H17" s="9">
        <f>IF(F17=0,"n.d.",G17/F17)</f>
        <v/>
      </c>
      <c r="I17" s="5" t="inlineStr"/>
    </row>
    <row r="18">
      <c r="A18" s="14" t="inlineStr">
        <is>
          <t>maggio</t>
        </is>
      </c>
      <c r="B18" s="14" t="inlineStr">
        <is>
          <t>Linea 1</t>
        </is>
      </c>
      <c r="C18" s="15" t="n">
        <v>205234.95</v>
      </c>
      <c r="D18" s="15" t="n">
        <v>188355.62</v>
      </c>
      <c r="E18" s="15">
        <f>C18-D18</f>
        <v/>
      </c>
      <c r="F18" s="15" t="n">
        <v>38307.81</v>
      </c>
      <c r="G18" s="15">
        <f>E18-F18</f>
        <v/>
      </c>
      <c r="H18" s="16">
        <f>IF(F18=0,"n.d.",G18/F18)</f>
        <v/>
      </c>
      <c r="I18" s="14" t="inlineStr">
        <is>
          <t>resa impasto sotto standard (vedi OEE)</t>
        </is>
      </c>
    </row>
    <row r="19">
      <c r="A19" s="14" t="inlineStr">
        <is>
          <t>maggio</t>
        </is>
      </c>
      <c r="B19" s="14" t="inlineStr">
        <is>
          <t>Linea 2</t>
        </is>
      </c>
      <c r="C19" s="15" t="n">
        <v>193291.15</v>
      </c>
      <c r="D19" s="15" t="n">
        <v>166305.05</v>
      </c>
      <c r="E19" s="15">
        <f>C19-D19</f>
        <v/>
      </c>
      <c r="F19" s="15" t="n">
        <v>34350.76</v>
      </c>
      <c r="G19" s="15">
        <f>E19-F19</f>
        <v/>
      </c>
      <c r="H19" s="16">
        <f>IF(F19=0,"n.d.",G19/F19)</f>
        <v/>
      </c>
      <c r="I19" s="14" t="inlineStr">
        <is>
          <t>3 domeniche promo Tosano - manodopera fuori budget</t>
        </is>
      </c>
    </row>
    <row r="20">
      <c r="A20" s="14" t="inlineStr">
        <is>
          <t>maggio</t>
        </is>
      </c>
      <c r="B20" s="14" t="inlineStr">
        <is>
          <t>Linea 3</t>
        </is>
      </c>
      <c r="C20" s="15" t="n">
        <v>178774.21</v>
      </c>
      <c r="D20" s="15" t="n">
        <v>148750.07</v>
      </c>
      <c r="E20" s="15">
        <f>C20-D20</f>
        <v/>
      </c>
      <c r="F20" s="15" t="n">
        <v>19409.19</v>
      </c>
      <c r="G20" s="15">
        <f>E20-F20</f>
        <v/>
      </c>
      <c r="H20" s="16">
        <f>IF(F20=0,"n.d.",G20/F20)</f>
        <v/>
      </c>
      <c r="I20" s="14" t="inlineStr">
        <is>
          <t>fermo cella CF-02 - prodotto trasferito a Nogara, costo trasporto extra</t>
        </is>
      </c>
    </row>
    <row r="22">
      <c r="A22" s="4" t="inlineStr">
        <is>
          <t>quadratura con CoGe:</t>
        </is>
      </c>
      <c r="C22" s="17">
        <f>SUM(C6:C20)</f>
        <v/>
      </c>
      <c r="E22" s="10" t="inlineStr">
        <is>
          <t>differenza da bilancio di verifica</t>
        </is>
      </c>
      <c r="G22" s="18" t="n">
        <v>-4188.62</v>
      </c>
    </row>
    <row r="23">
      <c r="E23" s="10" t="inlineStr">
        <is>
          <t>(Trentin) da capire, forse note di credito Alì non girate sull'analitica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4" customWidth="1" min="4" max="4"/>
    <col width="10" customWidth="1" min="5" max="5"/>
    <col width="10" customWidth="1" min="6" max="6"/>
    <col width="52" customWidth="1" min="7" max="7"/>
  </cols>
  <sheetData>
    <row r="1">
      <c r="A1" s="1" t="inlineStr">
        <is>
          <t>Scostamenti consuntivo vs budget - sintesi per la direzione</t>
        </is>
      </c>
    </row>
    <row r="5" ht="28" customHeight="1">
      <c r="A5" s="3" t="inlineStr">
        <is>
          <t>Voce</t>
        </is>
      </c>
      <c r="B5" s="3" t="inlineStr">
        <is>
          <t>Budget 5 mesi</t>
        </is>
      </c>
      <c r="C5" s="3" t="inlineStr">
        <is>
          <t>Consuntivo</t>
        </is>
      </c>
      <c r="D5" s="3" t="inlineStr">
        <is>
          <t>Delta €</t>
        </is>
      </c>
      <c r="E5" s="3" t="inlineStr">
        <is>
          <t>Delta %</t>
        </is>
      </c>
      <c r="F5" s="3" t="inlineStr">
        <is>
          <t>Semaforo</t>
        </is>
      </c>
      <c r="G5" s="3" t="inlineStr">
        <is>
          <t>Commento</t>
        </is>
      </c>
    </row>
    <row r="6">
      <c r="A6" s="5" t="inlineStr">
        <is>
          <t>Ricavi</t>
        </is>
      </c>
      <c r="B6" s="19" t="n">
        <v>1284000</v>
      </c>
      <c r="C6" s="19" t="n">
        <v>1219740</v>
      </c>
      <c r="D6" s="19">
        <f>C6-B6</f>
        <v/>
      </c>
      <c r="E6" s="9">
        <f>D6/B6</f>
        <v/>
      </c>
      <c r="F6" s="5">
        <f>IF(ABS(E6)&lt;0.05,"ok",IF(ABS(E6)&lt;0.15,"attenzione","fuori linea"))</f>
        <v/>
      </c>
      <c r="G6" s="5" t="inlineStr">
        <is>
          <t>il volantino Tosano ha spostato mix su referenze a minor prezzo</t>
        </is>
      </c>
    </row>
    <row r="7">
      <c r="A7" s="5" t="inlineStr">
        <is>
          <t>Materie prime</t>
        </is>
      </c>
      <c r="B7" s="19" t="n">
        <v>528000</v>
      </c>
      <c r="C7" s="19" t="n">
        <v>561300</v>
      </c>
      <c r="D7" s="19">
        <f>C7-B7</f>
        <v/>
      </c>
      <c r="E7" s="9">
        <f>D7/B7</f>
        <v/>
      </c>
      <c r="F7" s="5">
        <f>IF(ABS(E7)&lt;0.05,"ok",IF(ABS(E7)&lt;0.15,"attenzione","fuori linea"))</f>
        <v/>
      </c>
      <c r="G7" s="5" t="inlineStr">
        <is>
          <t>olio +11% da marzo, farina indicizzata borsa merci Bologna</t>
        </is>
      </c>
    </row>
    <row r="8">
      <c r="A8" s="5" t="inlineStr">
        <is>
          <t>Manodopera diretta</t>
        </is>
      </c>
      <c r="B8" s="19" t="n">
        <v>204000</v>
      </c>
      <c r="C8" s="19" t="n">
        <v>238900</v>
      </c>
      <c r="D8" s="19">
        <f>C8-B8</f>
        <v/>
      </c>
      <c r="E8" s="9">
        <f>D8/B8</f>
        <v/>
      </c>
      <c r="F8" s="20">
        <f>IF(ABS(E8)&lt;0.05,"ok",IF(ABS(E8)&lt;0.15,"attenzione","fuori linea"))</f>
        <v/>
      </c>
      <c r="G8" s="5" t="inlineStr">
        <is>
          <t>straordinari e maggiorazioni domenicali linea 2</t>
        </is>
      </c>
    </row>
    <row r="9">
      <c r="A9" s="5" t="inlineStr">
        <is>
          <t>Energia</t>
        </is>
      </c>
      <c r="B9" s="19" t="n">
        <v>71000</v>
      </c>
      <c r="C9" s="19" t="n">
        <v>79420</v>
      </c>
      <c r="D9" s="19">
        <f>C9-B9</f>
        <v/>
      </c>
      <c r="E9" s="9">
        <f>D9/B9</f>
        <v/>
      </c>
      <c r="F9" s="5">
        <f>IF(ABS(E9)&lt;0.05,"ok",IF(ABS(E9)&lt;0.15,"attenzione","fuori linea"))</f>
        <v/>
      </c>
      <c r="G9" s="5" t="inlineStr">
        <is>
          <t>cella CF-02 ha lavorato fuori regime tutto aprile</t>
        </is>
      </c>
    </row>
    <row r="10">
      <c r="A10" s="5" t="inlineStr">
        <is>
          <t>Manutenzione</t>
        </is>
      </c>
      <c r="B10" s="19" t="n">
        <v>26000</v>
      </c>
      <c r="C10" s="19" t="n">
        <v>41850</v>
      </c>
      <c r="D10" s="19">
        <f>C10-B10</f>
        <v/>
      </c>
      <c r="E10" s="9">
        <f>D10/B10</f>
        <v/>
      </c>
      <c r="F10" s="20">
        <f>IF(ABS(E10)&lt;0.05,"ok",IF(ABS(E10)&lt;0.15,"attenzione","fuori linea"))</f>
        <v/>
      </c>
      <c r="G10" s="5" t="inlineStr">
        <is>
          <t>guasto PKM-450 + interventi non programmati</t>
        </is>
      </c>
    </row>
    <row r="11">
      <c r="A11" s="5" t="inlineStr">
        <is>
          <t>Costo non qualità</t>
        </is>
      </c>
      <c r="B11" s="19" t="n">
        <v>8000</v>
      </c>
      <c r="C11" s="19" t="n">
        <v>29600</v>
      </c>
      <c r="D11" s="19">
        <f>C11-B11</f>
        <v/>
      </c>
      <c r="E11" s="9">
        <f>D11/B11</f>
        <v/>
      </c>
      <c r="F11" s="20">
        <f>IF(ABS(E11)&lt;0.05,"ok",IF(ABS(E11)&lt;0.15,"attenzione","fuori linea"))</f>
        <v/>
      </c>
      <c r="G11" s="5" t="inlineStr">
        <is>
          <t>lotti bloccati L26130/L26131, analisi urgenti, resi</t>
        </is>
      </c>
    </row>
    <row r="12">
      <c r="A12" s="21" t="inlineStr">
        <is>
          <t>MARGINE DI CONTRIBUZIONE</t>
        </is>
      </c>
      <c r="B12" s="22">
        <f>B6-SUM(B7:B11)</f>
        <v/>
      </c>
      <c r="C12" s="22">
        <f>C6-SUM(C7:C11)</f>
        <v/>
      </c>
      <c r="D12" s="22">
        <f>C12-B12</f>
        <v/>
      </c>
      <c r="E12" s="23">
        <f>D12/B12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C9"/>
  <sheetViews>
    <sheetView workbookViewId="0">
      <selection activeCell="A1" sqref="A1"/>
    </sheetView>
  </sheetViews>
  <sheetFormatPr baseColWidth="8" defaultRowHeight="15"/>
  <sheetData>
    <row r="3">
      <c r="B3" t="inlineStr">
        <is>
          <t>prova</t>
        </is>
      </c>
    </row>
    <row r="5">
      <c r="B5" s="10" t="inlineStr">
        <is>
          <t>chiedere a Bellotto se l'acconto Criotech va in conto anticipi o in immobilizzazioni in corso</t>
        </is>
      </c>
    </row>
    <row r="7">
      <c r="B7" s="24" t="n">
        <v>87000</v>
      </c>
      <c r="C7" s="24">
        <f>B7*0.22</f>
        <v/>
      </c>
    </row>
    <row r="9">
      <c r="B9">
        <f>B7/0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Aurora Food Group S.r.l.</Company>
  <AppVersion>16.0300</AppVersion>
  <TotalTime>189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 2026 vs consuntivo per linea</dc:title>
  <dc:creator>Luisa Trentin</dc:creator>
  <cp:lastModifiedBy>Giancarlo Bertoldi</cp:lastModifiedBy>
  <cp:revision>28</cp:revision>
  <dc:description/>
  <dcterms:created xsi:type="dcterms:W3CDTF">2025-11-03T16:38:33Z</dcterms:created>
  <dcterms:modified xsi:type="dcterms:W3CDTF">2026-06-03T17:38:33Z</dcterms:modified>
  <cp:company>Aurora Food Group S.r.l.</cp:company>
</cp:coreProperties>
</file>