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assi" sheetId="1" state="visible" r:id="rId1"/>
    <sheet xmlns:r="http://schemas.openxmlformats.org/officeDocument/2006/relationships" name="Pagamenti" sheetId="2" state="visible" r:id="rId2"/>
    <sheet xmlns:r="http://schemas.openxmlformats.org/officeDocument/2006/relationships" name="Saldo progressivo" sheetId="3" state="visible" r:id="rId3"/>
    <sheet xmlns:r="http://schemas.openxmlformats.org/officeDocument/2006/relationships" name="Ipote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i val="1"/>
      <color rgb="009C6500"/>
      <sz val="8"/>
    </font>
    <font>
      <name val="Calibri"/>
      <b val="1"/>
      <color rgb="00C00000"/>
      <sz val="10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165" fontId="5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4" customWidth="1" min="4" max="4"/>
    <col width="22" customWidth="1" min="5" max="5"/>
    <col width="13" customWidth="1" min="6" max="6"/>
    <col width="13" customWidth="1" min="7" max="7"/>
    <col width="11" customWidth="1" min="8" max="8"/>
    <col width="13" customWidth="1" min="9" max="9"/>
    <col width="34" customWidth="1" min="10" max="10"/>
  </cols>
  <sheetData>
    <row r="1">
      <c r="A1" s="1" t="inlineStr">
        <is>
          <t>Previsionale di cassa giugno - agosto 2026</t>
        </is>
      </c>
    </row>
    <row r="2">
      <c r="A2" s="2" t="inlineStr">
        <is>
          <t>L. Trentin - rev. 3 del 05/06/2026 - le settimane in rosso vanno oltre l'affidamento</t>
        </is>
      </c>
    </row>
    <row r="5" ht="28" customHeight="1">
      <c r="A5" s="3" t="inlineStr">
        <is>
          <t>Settimana</t>
        </is>
      </c>
      <c r="B5" s="3" t="inlineStr">
        <is>
          <t>Dal</t>
        </is>
      </c>
      <c r="C5" s="3" t="inlineStr">
        <is>
          <t>Al</t>
        </is>
      </c>
      <c r="D5" s="3" t="inlineStr">
        <is>
          <t>Cliente</t>
        </is>
      </c>
      <c r="E5" s="3" t="inlineStr">
        <is>
          <t>Rif. fatture</t>
        </is>
      </c>
      <c r="F5" s="3" t="inlineStr">
        <is>
          <t>Scadenza reale</t>
        </is>
      </c>
      <c r="G5" s="3" t="inlineStr">
        <is>
          <t>Importo</t>
        </is>
      </c>
      <c r="H5" s="3" t="inlineStr">
        <is>
          <t>Probabilità</t>
        </is>
      </c>
      <c r="I5" s="3" t="inlineStr">
        <is>
          <t>Atteso</t>
        </is>
      </c>
      <c r="J5" s="3" t="inlineStr">
        <is>
          <t>Note</t>
        </is>
      </c>
    </row>
    <row r="6">
      <c r="A6" s="4" t="inlineStr">
        <is>
          <t>W23</t>
        </is>
      </c>
      <c r="B6" s="4" t="inlineStr">
        <is>
          <t>01/06/2026</t>
        </is>
      </c>
      <c r="C6" s="4" t="inlineStr">
        <is>
          <t>07/06/2026</t>
        </is>
      </c>
      <c r="D6" s="4" t="inlineStr">
        <is>
          <t>Tosano Cerea SpA</t>
        </is>
      </c>
      <c r="E6" s="4" t="inlineStr">
        <is>
          <t>2026/188-189-190</t>
        </is>
      </c>
      <c r="F6" s="4" t="inlineStr">
        <is>
          <t>05/06/2026</t>
        </is>
      </c>
      <c r="G6" s="5" t="n">
        <v>148920.4</v>
      </c>
      <c r="H6" s="6" t="n">
        <v>1</v>
      </c>
      <c r="I6" s="5">
        <f>G6*H6</f>
        <v/>
      </c>
      <c r="J6" s="4" t="inlineStr">
        <is>
          <t>fatture di marzo, 90 gg</t>
        </is>
      </c>
    </row>
    <row r="7">
      <c r="A7" s="4" t="inlineStr">
        <is>
          <t>W23</t>
        </is>
      </c>
      <c r="B7" s="4" t="inlineStr">
        <is>
          <t>01/06/2026</t>
        </is>
      </c>
      <c r="C7" s="4" t="inlineStr">
        <is>
          <t>07/06/2026</t>
        </is>
      </c>
      <c r="D7" s="4" t="inlineStr">
        <is>
          <t>Ho.Re.Ca. grossisti</t>
        </is>
      </c>
      <c r="E7" s="4" t="inlineStr">
        <is>
          <t>varie</t>
        </is>
      </c>
      <c r="F7" s="4" t="inlineStr">
        <is>
          <t>03/06/2026</t>
        </is>
      </c>
      <c r="G7" s="5" t="n">
        <v>8410</v>
      </c>
      <c r="H7" s="6" t="n">
        <v>0.9</v>
      </c>
      <c r="I7" s="5">
        <f>G7*H7</f>
        <v/>
      </c>
      <c r="J7" s="4" t="inlineStr"/>
    </row>
    <row r="8">
      <c r="A8" s="4" t="inlineStr">
        <is>
          <t>W24</t>
        </is>
      </c>
      <c r="B8" s="4" t="inlineStr">
        <is>
          <t>08/06/2026</t>
        </is>
      </c>
      <c r="C8" s="4" t="inlineStr">
        <is>
          <t>14/06/2026</t>
        </is>
      </c>
      <c r="D8" s="4" t="inlineStr">
        <is>
          <t>Alì SpA</t>
        </is>
      </c>
      <c r="E8" s="4" t="inlineStr">
        <is>
          <t>2026/201-204</t>
        </is>
      </c>
      <c r="F8" s="4" t="inlineStr">
        <is>
          <t>10/06/2026</t>
        </is>
      </c>
      <c r="G8" s="5" t="n">
        <v>31280.6</v>
      </c>
      <c r="H8" s="6" t="n">
        <v>1</v>
      </c>
      <c r="I8" s="5">
        <f>G8*H8</f>
        <v/>
      </c>
      <c r="J8" s="4" t="inlineStr"/>
    </row>
    <row r="9">
      <c r="A9" s="4" t="inlineStr">
        <is>
          <t>W24</t>
        </is>
      </c>
      <c r="B9" s="4" t="inlineStr">
        <is>
          <t>08/06/2026</t>
        </is>
      </c>
      <c r="C9" s="4" t="inlineStr">
        <is>
          <t>14/06/2026</t>
        </is>
      </c>
      <c r="D9" s="4" t="inlineStr">
        <is>
          <t>Rossetto Trade SpA</t>
        </is>
      </c>
      <c r="E9" s="4" t="inlineStr">
        <is>
          <t>2026/198</t>
        </is>
      </c>
      <c r="F9" s="4" t="inlineStr">
        <is>
          <t>12/06/2026</t>
        </is>
      </c>
      <c r="G9" s="5" t="n">
        <v>18940</v>
      </c>
      <c r="H9" s="6" t="n">
        <v>0.5</v>
      </c>
      <c r="I9" s="5">
        <f>G9*H9</f>
        <v/>
      </c>
      <c r="J9" s="4" t="inlineStr">
        <is>
          <t>contestata per il richiamo, probabile nota di credito</t>
        </is>
      </c>
    </row>
    <row r="10">
      <c r="A10" s="4" t="inlineStr">
        <is>
          <t>W25</t>
        </is>
      </c>
      <c r="B10" s="4" t="inlineStr">
        <is>
          <t>15/06/2026</t>
        </is>
      </c>
      <c r="C10" s="4" t="inlineStr">
        <is>
          <t>21/06/2026</t>
        </is>
      </c>
      <c r="D10" s="4" t="inlineStr">
        <is>
          <t>Famila Nordest</t>
        </is>
      </c>
      <c r="E10" s="4" t="inlineStr">
        <is>
          <t>2026/210</t>
        </is>
      </c>
      <c r="F10" s="4" t="inlineStr">
        <is>
          <t>18/06/2026</t>
        </is>
      </c>
      <c r="G10" s="5" t="n">
        <v>22150.8</v>
      </c>
      <c r="H10" s="6" t="n">
        <v>1</v>
      </c>
      <c r="I10" s="5">
        <f>G10*H10</f>
        <v/>
      </c>
      <c r="J10" s="4" t="inlineStr"/>
    </row>
    <row r="11">
      <c r="A11" s="4" t="inlineStr">
        <is>
          <t>W26</t>
        </is>
      </c>
      <c r="B11" s="4" t="inlineStr">
        <is>
          <t>22/06/2026</t>
        </is>
      </c>
      <c r="C11" s="4" t="inlineStr">
        <is>
          <t>28/06/2026</t>
        </is>
      </c>
      <c r="D11" s="4" t="inlineStr">
        <is>
          <t>Tosano Cerea SpA</t>
        </is>
      </c>
      <c r="E11" s="4" t="inlineStr">
        <is>
          <t>2026/215-218</t>
        </is>
      </c>
      <c r="F11" s="4" t="inlineStr">
        <is>
          <t>26/06/2026</t>
        </is>
      </c>
      <c r="G11" s="5" t="n">
        <v>96420</v>
      </c>
      <c r="H11" s="6" t="n">
        <v>0.95</v>
      </c>
      <c r="I11" s="5">
        <f>G11*H11</f>
        <v/>
      </c>
      <c r="J11" s="4" t="inlineStr">
        <is>
          <t>al netto sconto merce 2%</t>
        </is>
      </c>
    </row>
    <row r="12">
      <c r="A12" s="4" t="inlineStr">
        <is>
          <t>W27</t>
        </is>
      </c>
      <c r="B12" s="4" t="inlineStr">
        <is>
          <t>29/06/2026</t>
        </is>
      </c>
      <c r="C12" s="4" t="inlineStr">
        <is>
          <t>05/07/2026</t>
        </is>
      </c>
      <c r="D12" s="4" t="inlineStr">
        <is>
          <t>Alì SpA</t>
        </is>
      </c>
      <c r="E12" s="4" t="inlineStr">
        <is>
          <t>2026/222</t>
        </is>
      </c>
      <c r="F12" s="4" t="inlineStr">
        <is>
          <t>02/07/2026</t>
        </is>
      </c>
      <c r="G12" s="5" t="n">
        <v>27110.3</v>
      </c>
      <c r="H12" s="6" t="n">
        <v>1</v>
      </c>
      <c r="I12" s="5">
        <f>G12*H12</f>
        <v/>
      </c>
      <c r="J12" s="4" t="inlineStr"/>
    </row>
    <row r="13">
      <c r="A13" s="4" t="inlineStr">
        <is>
          <t>W28</t>
        </is>
      </c>
      <c r="B13" s="4" t="inlineStr">
        <is>
          <t>06/07/2026</t>
        </is>
      </c>
      <c r="C13" s="4" t="inlineStr">
        <is>
          <t>12/07/2026</t>
        </is>
      </c>
      <c r="D13" s="4" t="inlineStr">
        <is>
          <t>Tosano Cerea SpA</t>
        </is>
      </c>
      <c r="E13" s="4" t="inlineStr">
        <is>
          <t>2026/230-231</t>
        </is>
      </c>
      <c r="F13" s="4" t="inlineStr">
        <is>
          <t>09/07/2026</t>
        </is>
      </c>
      <c r="G13" s="5" t="n">
        <v>134780.2</v>
      </c>
      <c r="H13" s="6" t="n">
        <v>0.95</v>
      </c>
      <c r="I13" s="5">
        <f>G13*H13</f>
        <v/>
      </c>
      <c r="J13" s="4" t="inlineStr"/>
    </row>
    <row r="14">
      <c r="A14" s="4" t="inlineStr">
        <is>
          <t>W29</t>
        </is>
      </c>
      <c r="B14" s="4" t="inlineStr">
        <is>
          <t>13/07/2026</t>
        </is>
      </c>
      <c r="C14" s="4" t="inlineStr">
        <is>
          <t>19/07/2026</t>
        </is>
      </c>
      <c r="D14" s="4" t="inlineStr">
        <is>
          <t>varie minori</t>
        </is>
      </c>
      <c r="E14" s="4" t="inlineStr"/>
      <c r="F14" s="4" t="inlineStr"/>
      <c r="G14" s="5" t="n">
        <v>14200</v>
      </c>
      <c r="H14" s="6" t="n">
        <v>0.8</v>
      </c>
      <c r="I14" s="5">
        <f>G14*H14</f>
        <v/>
      </c>
      <c r="J14" s="4" t="inlineStr"/>
    </row>
    <row r="15">
      <c r="A15" s="4" t="inlineStr">
        <is>
          <t>W30</t>
        </is>
      </c>
      <c r="B15" s="4" t="inlineStr">
        <is>
          <t>20/07/2026</t>
        </is>
      </c>
      <c r="C15" s="4" t="inlineStr">
        <is>
          <t>26/07/2026</t>
        </is>
      </c>
      <c r="D15" s="4" t="inlineStr">
        <is>
          <t>Tosano Cerea SpA</t>
        </is>
      </c>
      <c r="E15" s="4" t="inlineStr">
        <is>
          <t>2026/240</t>
        </is>
      </c>
      <c r="F15" s="4" t="inlineStr">
        <is>
          <t>24/07/2026</t>
        </is>
      </c>
      <c r="G15" s="5" t="n">
        <v>88900</v>
      </c>
      <c r="H15" s="6" t="n">
        <v>0.95</v>
      </c>
      <c r="I15" s="5">
        <f>G15*H15</f>
        <v/>
      </c>
      <c r="J15" s="4" t="inlineStr"/>
    </row>
    <row r="16">
      <c r="A16" s="4" t="inlineStr">
        <is>
          <t>W31</t>
        </is>
      </c>
      <c r="B16" s="4" t="inlineStr">
        <is>
          <t>27/07/2026</t>
        </is>
      </c>
      <c r="C16" s="4" t="inlineStr">
        <is>
          <t>02/08/2026</t>
        </is>
      </c>
      <c r="D16" s="4" t="inlineStr">
        <is>
          <t>Famila Nordest</t>
        </is>
      </c>
      <c r="E16" s="4" t="inlineStr">
        <is>
          <t>2026/244</t>
        </is>
      </c>
      <c r="F16" s="4" t="inlineStr">
        <is>
          <t>30/07/2026</t>
        </is>
      </c>
      <c r="G16" s="5" t="n">
        <v>19870.4</v>
      </c>
      <c r="H16" s="6" t="n">
        <v>1</v>
      </c>
      <c r="I16" s="5">
        <f>G16*H16</f>
        <v/>
      </c>
      <c r="J16" s="4" t="inlineStr"/>
    </row>
    <row r="17">
      <c r="A17" s="4" t="inlineStr">
        <is>
          <t>W32</t>
        </is>
      </c>
      <c r="B17" s="4" t="inlineStr">
        <is>
          <t>03/08/2026</t>
        </is>
      </c>
      <c r="C17" s="4" t="inlineStr">
        <is>
          <t>09/08/2026</t>
        </is>
      </c>
      <c r="D17" s="4" t="inlineStr">
        <is>
          <t>Alì SpA</t>
        </is>
      </c>
      <c r="E17" s="4" t="inlineStr">
        <is>
          <t>2026/250</t>
        </is>
      </c>
      <c r="F17" s="4" t="inlineStr">
        <is>
          <t>06/08/2026</t>
        </is>
      </c>
      <c r="G17" s="5" t="n">
        <v>24310</v>
      </c>
      <c r="H17" s="6" t="n">
        <v>1</v>
      </c>
      <c r="I17" s="5">
        <f>G17*H17</f>
        <v/>
      </c>
      <c r="J17" s="4" t="inlineStr">
        <is>
          <t>agosto: incassi lenti, storicamente slittano</t>
        </is>
      </c>
    </row>
    <row r="18">
      <c r="A18" s="4" t="inlineStr">
        <is>
          <t>W33</t>
        </is>
      </c>
      <c r="B18" s="4" t="inlineStr">
        <is>
          <t>10/08/2026</t>
        </is>
      </c>
      <c r="C18" s="4" t="inlineStr">
        <is>
          <t>16/08/2026</t>
        </is>
      </c>
      <c r="D18" s="4" t="inlineStr">
        <is>
          <t>-</t>
        </is>
      </c>
      <c r="E18" s="4" t="inlineStr"/>
      <c r="F18" s="4" t="inlineStr"/>
      <c r="G18" s="5" t="n">
        <v>0</v>
      </c>
      <c r="H18" s="6" t="n">
        <v>0</v>
      </c>
      <c r="I18" s="5">
        <f>G18*H18</f>
        <v/>
      </c>
      <c r="J18" s="4" t="inlineStr">
        <is>
          <t>chiusura ferie</t>
        </is>
      </c>
    </row>
    <row r="19">
      <c r="A19" s="4" t="inlineStr">
        <is>
          <t>W34</t>
        </is>
      </c>
      <c r="B19" s="4" t="inlineStr">
        <is>
          <t>17/08/2026</t>
        </is>
      </c>
      <c r="C19" s="4" t="inlineStr">
        <is>
          <t>23/08/2026</t>
        </is>
      </c>
      <c r="D19" s="4" t="inlineStr">
        <is>
          <t>Tosano Cerea SpA</t>
        </is>
      </c>
      <c r="E19" s="4" t="inlineStr">
        <is>
          <t>2026/255</t>
        </is>
      </c>
      <c r="F19" s="4" t="inlineStr">
        <is>
          <t>21/08/2026</t>
        </is>
      </c>
      <c r="G19" s="5" t="n">
        <v>71200</v>
      </c>
      <c r="H19" s="6" t="n">
        <v>0.9</v>
      </c>
      <c r="I19" s="5">
        <f>G19*H19</f>
        <v/>
      </c>
      <c r="J19" s="4" t="inlineStr"/>
    </row>
    <row r="20">
      <c r="D20" s="7" t="inlineStr">
        <is>
          <t>TOTALE ATTESO</t>
        </is>
      </c>
      <c r="I20" s="8">
        <f>SUM(I6:I19)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2" customWidth="1" min="4" max="4"/>
    <col width="13" customWidth="1" min="5" max="5"/>
    <col width="12" customWidth="1" min="6" max="6"/>
    <col width="40" customWidth="1" min="7" max="7"/>
  </cols>
  <sheetData>
    <row r="1">
      <c r="A1" s="1" t="inlineStr">
        <is>
          <t>Uscite previste giugno - agosto 2026</t>
        </is>
      </c>
    </row>
    <row r="5" ht="28" customHeight="1">
      <c r="A5" s="3" t="inlineStr">
        <is>
          <t>Settimana</t>
        </is>
      </c>
      <c r="B5" s="3" t="inlineStr">
        <is>
          <t>Beneficiario</t>
        </is>
      </c>
      <c r="C5" s="3" t="inlineStr">
        <is>
          <t>Causale</t>
        </is>
      </c>
      <c r="D5" s="3" t="inlineStr">
        <is>
          <t>Scadenza</t>
        </is>
      </c>
      <c r="E5" s="3" t="inlineStr">
        <is>
          <t>Importo</t>
        </is>
      </c>
      <c r="F5" s="3" t="inlineStr">
        <is>
          <t>Rinviabile</t>
        </is>
      </c>
      <c r="G5" s="3" t="inlineStr">
        <is>
          <t>Note</t>
        </is>
      </c>
    </row>
    <row r="6">
      <c r="A6" s="4" t="inlineStr">
        <is>
          <t>W23</t>
        </is>
      </c>
      <c r="B6" s="4" t="inlineStr">
        <is>
          <t>Molino Veneto SpA</t>
        </is>
      </c>
      <c r="C6" s="4" t="inlineStr">
        <is>
          <t>RIBA farine aprile</t>
        </is>
      </c>
      <c r="D6" s="4" t="inlineStr">
        <is>
          <t>05/06/2026</t>
        </is>
      </c>
      <c r="E6" s="5" t="n">
        <v>42180.6</v>
      </c>
      <c r="F6" s="4" t="inlineStr">
        <is>
          <t>no</t>
        </is>
      </c>
      <c r="G6" s="4" t="inlineStr"/>
    </row>
    <row r="7">
      <c r="A7" s="9" t="inlineStr">
        <is>
          <t>W23</t>
        </is>
      </c>
      <c r="B7" s="9" t="inlineStr">
        <is>
          <t>Dipendenti</t>
        </is>
      </c>
      <c r="C7" s="9" t="inlineStr">
        <is>
          <t>Stipendi maggio</t>
        </is>
      </c>
      <c r="D7" s="9" t="inlineStr">
        <is>
          <t>10/06/2026</t>
        </is>
      </c>
      <c r="E7" s="10" t="n">
        <v>118400</v>
      </c>
      <c r="F7" s="9" t="inlineStr">
        <is>
          <t>no</t>
        </is>
      </c>
      <c r="G7" s="9" t="inlineStr">
        <is>
          <t>50 dipendenti + straordinari domenicali</t>
        </is>
      </c>
    </row>
    <row r="8">
      <c r="A8" s="4" t="inlineStr">
        <is>
          <t>W23</t>
        </is>
      </c>
      <c r="B8" s="4" t="inlineStr">
        <is>
          <t>Erario</t>
        </is>
      </c>
      <c r="C8" s="4" t="inlineStr">
        <is>
          <t>F24 - IVA + ritenute</t>
        </is>
      </c>
      <c r="D8" s="4" t="inlineStr">
        <is>
          <t>16/06/2026</t>
        </is>
      </c>
      <c r="E8" s="5" t="n">
        <v>38920.4</v>
      </c>
      <c r="F8" s="4" t="inlineStr">
        <is>
          <t>no</t>
        </is>
      </c>
      <c r="G8" s="4" t="inlineStr"/>
    </row>
    <row r="9">
      <c r="A9" s="9" t="inlineStr">
        <is>
          <t>W24</t>
        </is>
      </c>
      <c r="B9" s="9" t="inlineStr">
        <is>
          <t>Criotech Impianti Srl</t>
        </is>
      </c>
      <c r="C9" s="9" t="inlineStr">
        <is>
          <t>ACCONTO 30% ord. 2026/017 tunnel</t>
        </is>
      </c>
      <c r="D9" s="9" t="inlineStr">
        <is>
          <t>12/06/2026</t>
        </is>
      </c>
      <c r="E9" s="10" t="n">
        <v>87000</v>
      </c>
      <c r="F9" s="9" t="inlineStr">
        <is>
          <t>forse</t>
        </is>
      </c>
      <c r="G9" s="9" t="inlineStr">
        <is>
          <t>Fantin dice che se slitta perdiamo lo slot di consegna</t>
        </is>
      </c>
    </row>
    <row r="10">
      <c r="A10" s="4" t="inlineStr">
        <is>
          <t>W24</t>
        </is>
      </c>
      <c r="B10" s="4" t="inlineStr">
        <is>
          <t>Veneta Energia SpA</t>
        </is>
      </c>
      <c r="C10" s="4" t="inlineStr">
        <is>
          <t>Utenze maggio</t>
        </is>
      </c>
      <c r="D10" s="4" t="inlineStr">
        <is>
          <t>14/06/2026</t>
        </is>
      </c>
      <c r="E10" s="5" t="n">
        <v>21640.8</v>
      </c>
      <c r="F10" s="4" t="inlineStr">
        <is>
          <t>no</t>
        </is>
      </c>
      <c r="G10" s="4" t="inlineStr"/>
    </row>
    <row r="11">
      <c r="A11" s="4" t="inlineStr">
        <is>
          <t>W25</t>
        </is>
      </c>
      <c r="B11" s="4" t="inlineStr">
        <is>
          <t>Flexipack Nordest Srl</t>
        </is>
      </c>
      <c r="C11" s="4" t="inlineStr">
        <is>
          <t>RIBA imballi</t>
        </is>
      </c>
      <c r="D11" s="4" t="inlineStr">
        <is>
          <t>18/06/2026</t>
        </is>
      </c>
      <c r="E11" s="5" t="n">
        <v>16220</v>
      </c>
      <c r="F11" s="4" t="inlineStr">
        <is>
          <t>no</t>
        </is>
      </c>
      <c r="G11" s="4" t="inlineStr"/>
    </row>
    <row r="12">
      <c r="A12" s="4" t="inlineStr">
        <is>
          <t>W25</t>
        </is>
      </c>
      <c r="B12" s="4" t="inlineStr">
        <is>
          <t>Oleificio Adriatico SpA</t>
        </is>
      </c>
      <c r="C12" s="4" t="inlineStr">
        <is>
          <t>RIBA olio (prezzo +11%)</t>
        </is>
      </c>
      <c r="D12" s="4" t="inlineStr">
        <is>
          <t>20/06/2026</t>
        </is>
      </c>
      <c r="E12" s="5" t="n">
        <v>19880.5</v>
      </c>
      <c r="F12" s="4" t="inlineStr">
        <is>
          <t>sì</t>
        </is>
      </c>
      <c r="G12" s="4" t="inlineStr">
        <is>
          <t>hanno già sollecitato una volta</t>
        </is>
      </c>
    </row>
    <row r="13">
      <c r="A13" s="4" t="inlineStr">
        <is>
          <t>W26</t>
        </is>
      </c>
      <c r="B13" s="4" t="inlineStr">
        <is>
          <t>Leasing UniCredit</t>
        </is>
      </c>
      <c r="C13" s="4" t="inlineStr">
        <is>
          <t>Rata forno FT-02</t>
        </is>
      </c>
      <c r="D13" s="4" t="inlineStr">
        <is>
          <t>28/06/2026</t>
        </is>
      </c>
      <c r="E13" s="5" t="n">
        <v>4180</v>
      </c>
      <c r="F13" s="4" t="inlineStr">
        <is>
          <t>no</t>
        </is>
      </c>
      <c r="G13" s="4" t="inlineStr"/>
    </row>
    <row r="14">
      <c r="A14" s="4" t="inlineStr">
        <is>
          <t>W26</t>
        </is>
      </c>
      <c r="B14" s="4" t="inlineStr">
        <is>
          <t>CSQA Certificazioni Srl</t>
        </is>
      </c>
      <c r="C14" s="4" t="inlineStr">
        <is>
          <t>Saldo audit febbraio</t>
        </is>
      </c>
      <c r="D14" s="4" t="inlineStr">
        <is>
          <t>30/06/2026</t>
        </is>
      </c>
      <c r="E14" s="5" t="n">
        <v>6100</v>
      </c>
      <c r="F14" s="4" t="inlineStr">
        <is>
          <t>sì</t>
        </is>
      </c>
      <c r="G14" s="4" t="inlineStr">
        <is>
          <t>fattura ferma da marzo, hanno scritto due volte</t>
        </is>
      </c>
    </row>
    <row r="15">
      <c r="A15" s="9" t="inlineStr">
        <is>
          <t>W27</t>
        </is>
      </c>
      <c r="B15" s="9" t="inlineStr">
        <is>
          <t>Dipendenti</t>
        </is>
      </c>
      <c r="C15" s="9" t="inlineStr">
        <is>
          <t>Stipendi giugno</t>
        </is>
      </c>
      <c r="D15" s="9" t="inlineStr">
        <is>
          <t>10/07/2026</t>
        </is>
      </c>
      <c r="E15" s="10" t="n">
        <v>112800</v>
      </c>
      <c r="F15" s="9" t="inlineStr">
        <is>
          <t>no</t>
        </is>
      </c>
      <c r="G15" s="9" t="inlineStr"/>
    </row>
    <row r="16">
      <c r="A16" s="4" t="inlineStr">
        <is>
          <t>W27</t>
        </is>
      </c>
      <c r="B16" s="4" t="inlineStr">
        <is>
          <t>Erario</t>
        </is>
      </c>
      <c r="C16" s="4" t="inlineStr">
        <is>
          <t>F24</t>
        </is>
      </c>
      <c r="D16" s="4" t="inlineStr">
        <is>
          <t>16/07/2026</t>
        </is>
      </c>
      <c r="E16" s="5" t="n">
        <v>34110</v>
      </c>
      <c r="F16" s="4" t="inlineStr">
        <is>
          <t>no</t>
        </is>
      </c>
      <c r="G16" s="4" t="inlineStr"/>
    </row>
    <row r="17">
      <c r="A17" s="4" t="inlineStr">
        <is>
          <t>W28</t>
        </is>
      </c>
      <c r="B17" s="4" t="inlineStr">
        <is>
          <t>Molino Veneto SpA</t>
        </is>
      </c>
      <c r="C17" s="4" t="inlineStr">
        <is>
          <t>RIBA farine maggio</t>
        </is>
      </c>
      <c r="D17" s="4" t="inlineStr">
        <is>
          <t>09/07/2026</t>
        </is>
      </c>
      <c r="E17" s="5" t="n">
        <v>39440.2</v>
      </c>
      <c r="F17" s="4" t="inlineStr">
        <is>
          <t>no</t>
        </is>
      </c>
      <c r="G17" s="4" t="inlineStr"/>
    </row>
    <row r="18">
      <c r="A18" s="4" t="inlineStr">
        <is>
          <t>W29</t>
        </is>
      </c>
      <c r="B18" s="4" t="inlineStr">
        <is>
          <t>Analytica Veneta Srl</t>
        </is>
      </c>
      <c r="C18" s="4" t="inlineStr">
        <is>
          <t>Analisi urgenti reclamo</t>
        </is>
      </c>
      <c r="D18" s="4" t="inlineStr">
        <is>
          <t>15/07/2026</t>
        </is>
      </c>
      <c r="E18" s="5" t="n">
        <v>4820</v>
      </c>
      <c r="F18" s="4" t="inlineStr">
        <is>
          <t>sì</t>
        </is>
      </c>
      <c r="G18" s="4" t="inlineStr">
        <is>
          <t>fuori budget - costo non qualità</t>
        </is>
      </c>
    </row>
    <row r="19">
      <c r="A19" s="9" t="inlineStr">
        <is>
          <t>W30</t>
        </is>
      </c>
      <c r="B19" s="9" t="inlineStr">
        <is>
          <t>Criotech Impianti Srl</t>
        </is>
      </c>
      <c r="C19" s="9" t="inlineStr">
        <is>
          <t>SALDO 60% alla consegna</t>
        </is>
      </c>
      <c r="D19" s="9" t="inlineStr">
        <is>
          <t>24/07/2026</t>
        </is>
      </c>
      <c r="E19" s="10" t="n">
        <v>174000</v>
      </c>
      <c r="F19" s="9" t="inlineStr">
        <is>
          <t>no</t>
        </is>
      </c>
      <c r="G19" s="9" t="inlineStr">
        <is>
          <t>QUESTO È IL PROBLEMA</t>
        </is>
      </c>
    </row>
    <row r="20">
      <c r="A20" s="9" t="inlineStr">
        <is>
          <t>W31</t>
        </is>
      </c>
      <c r="B20" s="9" t="inlineStr">
        <is>
          <t>Dipendenti</t>
        </is>
      </c>
      <c r="C20" s="9" t="inlineStr">
        <is>
          <t>Stipendi luglio + 14esima</t>
        </is>
      </c>
      <c r="D20" s="9" t="inlineStr">
        <is>
          <t>31/07/2026</t>
        </is>
      </c>
      <c r="E20" s="10" t="n">
        <v>186200</v>
      </c>
      <c r="F20" s="9" t="inlineStr">
        <is>
          <t>no</t>
        </is>
      </c>
      <c r="G20" s="9" t="inlineStr"/>
    </row>
    <row r="21">
      <c r="A21" s="4" t="inlineStr">
        <is>
          <t>W32</t>
        </is>
      </c>
      <c r="B21" s="4" t="inlineStr">
        <is>
          <t>Veneta Energia SpA</t>
        </is>
      </c>
      <c r="C21" s="4" t="inlineStr">
        <is>
          <t>Utenze luglio</t>
        </is>
      </c>
      <c r="D21" s="4" t="inlineStr">
        <is>
          <t>06/08/2026</t>
        </is>
      </c>
      <c r="E21" s="5" t="n">
        <v>18900</v>
      </c>
      <c r="F21" s="4" t="inlineStr">
        <is>
          <t>no</t>
        </is>
      </c>
      <c r="G21" s="4" t="inlineStr"/>
    </row>
    <row r="22">
      <c r="A22" s="4" t="inlineStr">
        <is>
          <t>W34</t>
        </is>
      </c>
      <c r="B22" s="4" t="inlineStr">
        <is>
          <t>Assicurazioni</t>
        </is>
      </c>
      <c r="C22" s="4" t="inlineStr">
        <is>
          <t>Rinnovo RC prodotto</t>
        </is>
      </c>
      <c r="D22" s="4" t="inlineStr">
        <is>
          <t>20/08/2026</t>
        </is>
      </c>
      <c r="E22" s="5" t="n">
        <v>9420</v>
      </c>
      <c r="F22" s="4" t="inlineStr">
        <is>
          <t>no</t>
        </is>
      </c>
      <c r="G22" s="4" t="inlineStr">
        <is>
          <t>scadenza 30/06 prorogata</t>
        </is>
      </c>
    </row>
    <row r="23">
      <c r="B23" s="7" t="inlineStr">
        <is>
          <t>TOTALE USCITE</t>
        </is>
      </c>
      <c r="E23" s="8">
        <f>SUM(E6:E22)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26" customWidth="1" min="8" max="8"/>
  </cols>
  <sheetData>
    <row r="1">
      <c r="A1" s="1" t="inlineStr">
        <is>
          <t>Saldo di conto corrente progressivo - UniCredit filiale Cologna Veneta</t>
        </is>
      </c>
    </row>
    <row r="2">
      <c r="A2" s="2" t="inlineStr">
        <is>
          <t>affidamento c/c 250.000 € - anticipo fatture 400.000 € (utilizzato 212.000 al 31/05)</t>
        </is>
      </c>
    </row>
    <row r="5" ht="28" customHeight="1">
      <c r="A5" s="3" t="inlineStr">
        <is>
          <t>Settimana</t>
        </is>
      </c>
      <c r="B5" s="3" t="inlineStr">
        <is>
          <t>Saldo iniziale</t>
        </is>
      </c>
      <c r="C5" s="3" t="inlineStr">
        <is>
          <t>Incassi</t>
        </is>
      </c>
      <c r="D5" s="3" t="inlineStr">
        <is>
          <t>Uscite</t>
        </is>
      </c>
      <c r="E5" s="3" t="inlineStr">
        <is>
          <t>Saldo finale</t>
        </is>
      </c>
      <c r="F5" s="3" t="inlineStr">
        <is>
          <t>Fido residuo</t>
        </is>
      </c>
      <c r="G5" s="3" t="inlineStr">
        <is>
          <t>Utilizzo anticipo</t>
        </is>
      </c>
      <c r="H5" s="3" t="inlineStr">
        <is>
          <t>Allarme</t>
        </is>
      </c>
    </row>
    <row r="6">
      <c r="A6" t="inlineStr">
        <is>
          <t>W22 (attuale)</t>
        </is>
      </c>
      <c r="B6" t="n">
        <v>41820.6</v>
      </c>
      <c r="C6" t="n">
        <v>0</v>
      </c>
      <c r="D6" t="n">
        <v>0</v>
      </c>
      <c r="E6">
        <f>B6</f>
        <v/>
      </c>
      <c r="F6">
        <f>250000+E6</f>
        <v/>
      </c>
      <c r="G6" t="n">
        <v>212000</v>
      </c>
    </row>
    <row r="7">
      <c r="A7" s="4" t="inlineStr">
        <is>
          <t>W23</t>
        </is>
      </c>
      <c r="B7" s="5">
        <f>E6</f>
        <v/>
      </c>
      <c r="C7" s="5">
        <f>SUMIF(Incassi!A:A,A7,Incassi!I:I)</f>
        <v/>
      </c>
      <c r="D7" s="5">
        <f>SUMIF(Pagamenti!A:A,A7,Pagamenti!E:E)</f>
        <v/>
      </c>
      <c r="E7" s="5">
        <f>B7+C7-D7</f>
        <v/>
      </c>
      <c r="F7" s="5">
        <f>250000+E7</f>
        <v/>
      </c>
      <c r="G7" s="5">
        <f>IF(E7&lt;0,-E7,0)</f>
        <v/>
      </c>
      <c r="H7" s="4">
        <f>IF(F7&lt;0,"SCONFINAMENTO",IF(F7&lt;40000,"tensione",""))</f>
        <v/>
      </c>
    </row>
    <row r="8">
      <c r="A8" s="4" t="inlineStr">
        <is>
          <t>W24</t>
        </is>
      </c>
      <c r="B8" s="5">
        <f>E7</f>
        <v/>
      </c>
      <c r="C8" s="5">
        <f>SUMIF(Incassi!A:A,A8,Incassi!I:I)</f>
        <v/>
      </c>
      <c r="D8" s="5">
        <f>SUMIF(Pagamenti!A:A,A8,Pagamenti!E:E)</f>
        <v/>
      </c>
      <c r="E8" s="5">
        <f>B8+C8-D8</f>
        <v/>
      </c>
      <c r="F8" s="5">
        <f>250000+E8</f>
        <v/>
      </c>
      <c r="G8" s="5">
        <f>IF(E8&lt;0,-E8,0)</f>
        <v/>
      </c>
      <c r="H8" s="4">
        <f>IF(F8&lt;0,"SCONFINAMENTO",IF(F8&lt;40000,"tensione",""))</f>
        <v/>
      </c>
    </row>
    <row r="9">
      <c r="A9" s="4" t="inlineStr">
        <is>
          <t>W25</t>
        </is>
      </c>
      <c r="B9" s="5">
        <f>E8</f>
        <v/>
      </c>
      <c r="C9" s="5">
        <f>SUMIF(Incassi!A:A,A9,Incassi!I:I)</f>
        <v/>
      </c>
      <c r="D9" s="5">
        <f>SUMIF(Pagamenti!A:A,A9,Pagamenti!E:E)</f>
        <v/>
      </c>
      <c r="E9" s="5">
        <f>B9+C9-D9</f>
        <v/>
      </c>
      <c r="F9" s="5">
        <f>250000+E9</f>
        <v/>
      </c>
      <c r="G9" s="5">
        <f>IF(E9&lt;0,-E9,0)</f>
        <v/>
      </c>
      <c r="H9" s="4">
        <f>IF(F9&lt;0,"SCONFINAMENTO",IF(F9&lt;40000,"tensione",""))</f>
        <v/>
      </c>
    </row>
    <row r="10">
      <c r="A10" s="4" t="inlineStr">
        <is>
          <t>W26</t>
        </is>
      </c>
      <c r="B10" s="5">
        <f>E9</f>
        <v/>
      </c>
      <c r="C10" s="5">
        <f>SUMIF(Incassi!A:A,A10,Incassi!I:I)</f>
        <v/>
      </c>
      <c r="D10" s="5">
        <f>SUMIF(Pagamenti!A:A,A10,Pagamenti!E:E)</f>
        <v/>
      </c>
      <c r="E10" s="5">
        <f>B10+C10-D10</f>
        <v/>
      </c>
      <c r="F10" s="5">
        <f>250000+E10</f>
        <v/>
      </c>
      <c r="G10" s="5">
        <f>IF(E10&lt;0,-E10,0)</f>
        <v/>
      </c>
      <c r="H10" s="4">
        <f>IF(F10&lt;0,"SCONFINAMENTO",IF(F10&lt;40000,"tensione",""))</f>
        <v/>
      </c>
    </row>
    <row r="11">
      <c r="A11" s="4" t="inlineStr">
        <is>
          <t>W27</t>
        </is>
      </c>
      <c r="B11" s="5">
        <f>E10</f>
        <v/>
      </c>
      <c r="C11" s="5">
        <f>SUMIF(Incassi!A:A,A11,Incassi!I:I)</f>
        <v/>
      </c>
      <c r="D11" s="5">
        <f>SUMIF(Pagamenti!A:A,A11,Pagamenti!E:E)</f>
        <v/>
      </c>
      <c r="E11" s="5">
        <f>B11+C11-D11</f>
        <v/>
      </c>
      <c r="F11" s="5">
        <f>250000+E11</f>
        <v/>
      </c>
      <c r="G11" s="5">
        <f>IF(E11&lt;0,-E11,0)</f>
        <v/>
      </c>
      <c r="H11" s="4">
        <f>IF(F11&lt;0,"SCONFINAMENTO",IF(F11&lt;40000,"tensione",""))</f>
        <v/>
      </c>
    </row>
    <row r="12">
      <c r="A12" s="4" t="inlineStr">
        <is>
          <t>W28</t>
        </is>
      </c>
      <c r="B12" s="5">
        <f>E11</f>
        <v/>
      </c>
      <c r="C12" s="5">
        <f>SUMIF(Incassi!A:A,A12,Incassi!I:I)</f>
        <v/>
      </c>
      <c r="D12" s="5">
        <f>SUMIF(Pagamenti!A:A,A12,Pagamenti!E:E)</f>
        <v/>
      </c>
      <c r="E12" s="5">
        <f>B12+C12-D12</f>
        <v/>
      </c>
      <c r="F12" s="5">
        <f>250000+E12</f>
        <v/>
      </c>
      <c r="G12" s="5">
        <f>IF(E12&lt;0,-E12,0)</f>
        <v/>
      </c>
      <c r="H12" s="4">
        <f>IF(F12&lt;0,"SCONFINAMENTO",IF(F12&lt;40000,"tensione",""))</f>
        <v/>
      </c>
    </row>
    <row r="13">
      <c r="A13" s="4" t="inlineStr">
        <is>
          <t>W29</t>
        </is>
      </c>
      <c r="B13" s="5">
        <f>E12</f>
        <v/>
      </c>
      <c r="C13" s="5">
        <f>SUMIF(Incassi!A:A,A13,Incassi!I:I)</f>
        <v/>
      </c>
      <c r="D13" s="5">
        <f>SUMIF(Pagamenti!A:A,A13,Pagamenti!E:E)</f>
        <v/>
      </c>
      <c r="E13" s="5">
        <f>B13+C13-D13</f>
        <v/>
      </c>
      <c r="F13" s="5">
        <f>250000+E13</f>
        <v/>
      </c>
      <c r="G13" s="5">
        <f>IF(E13&lt;0,-E13,0)</f>
        <v/>
      </c>
      <c r="H13" s="4">
        <f>IF(F13&lt;0,"SCONFINAMENTO",IF(F13&lt;40000,"tensione",""))</f>
        <v/>
      </c>
    </row>
    <row r="14">
      <c r="A14" s="4" t="inlineStr">
        <is>
          <t>W30</t>
        </is>
      </c>
      <c r="B14" s="5">
        <f>E13</f>
        <v/>
      </c>
      <c r="C14" s="5">
        <f>SUMIF(Incassi!A:A,A14,Incassi!I:I)</f>
        <v/>
      </c>
      <c r="D14" s="5">
        <f>SUMIF(Pagamenti!A:A,A14,Pagamenti!E:E)</f>
        <v/>
      </c>
      <c r="E14" s="5">
        <f>B14+C14-D14</f>
        <v/>
      </c>
      <c r="F14" s="5">
        <f>250000+E14</f>
        <v/>
      </c>
      <c r="G14" s="5">
        <f>IF(E14&lt;0,-E14,0)</f>
        <v/>
      </c>
      <c r="H14" s="4">
        <f>IF(F14&lt;0,"SCONFINAMENTO",IF(F14&lt;40000,"tensione",""))</f>
        <v/>
      </c>
    </row>
    <row r="15">
      <c r="A15" s="4" t="inlineStr">
        <is>
          <t>W31</t>
        </is>
      </c>
      <c r="B15" s="5">
        <f>E14</f>
        <v/>
      </c>
      <c r="C15" s="5">
        <f>SUMIF(Incassi!A:A,A15,Incassi!I:I)</f>
        <v/>
      </c>
      <c r="D15" s="5">
        <f>SUMIF(Pagamenti!A:A,A15,Pagamenti!E:E)</f>
        <v/>
      </c>
      <c r="E15" s="5">
        <f>B15+C15-D15</f>
        <v/>
      </c>
      <c r="F15" s="5">
        <f>250000+E15</f>
        <v/>
      </c>
      <c r="G15" s="5">
        <f>IF(E15&lt;0,-E15,0)</f>
        <v/>
      </c>
      <c r="H15" s="4">
        <f>IF(F15&lt;0,"SCONFINAMENTO",IF(F15&lt;40000,"tensione",""))</f>
        <v/>
      </c>
    </row>
    <row r="16">
      <c r="A16" s="4" t="inlineStr">
        <is>
          <t>W32</t>
        </is>
      </c>
      <c r="B16" s="5">
        <f>E15</f>
        <v/>
      </c>
      <c r="C16" s="5">
        <f>SUMIF(Incassi!A:A,A16,Incassi!I:I)</f>
        <v/>
      </c>
      <c r="D16" s="5">
        <f>SUMIF(Pagamenti!A:A,A16,Pagamenti!E:E)</f>
        <v/>
      </c>
      <c r="E16" s="5">
        <f>B16+C16-D16</f>
        <v/>
      </c>
      <c r="F16" s="5">
        <f>250000+E16</f>
        <v/>
      </c>
      <c r="G16" s="5">
        <f>IF(E16&lt;0,-E16,0)</f>
        <v/>
      </c>
      <c r="H16" s="4">
        <f>IF(F16&lt;0,"SCONFINAMENTO",IF(F16&lt;40000,"tensione",""))</f>
        <v/>
      </c>
    </row>
    <row r="17">
      <c r="A17" s="4" t="inlineStr">
        <is>
          <t>W33</t>
        </is>
      </c>
      <c r="B17" s="5">
        <f>E16</f>
        <v/>
      </c>
      <c r="C17" s="5">
        <f>SUMIF(Incassi!A:A,A17,Incassi!I:I)</f>
        <v/>
      </c>
      <c r="D17" s="5">
        <f>SUMIF(Pagamenti!A:A,A17,Pagamenti!E:E)</f>
        <v/>
      </c>
      <c r="E17" s="5">
        <f>B17+C17-D17</f>
        <v/>
      </c>
      <c r="F17" s="5">
        <f>250000+E17</f>
        <v/>
      </c>
      <c r="G17" s="5">
        <f>IF(E17&lt;0,-E17,0)</f>
        <v/>
      </c>
      <c r="H17" s="4">
        <f>IF(F17&lt;0,"SCONFINAMENTO",IF(F17&lt;40000,"tensione",""))</f>
        <v/>
      </c>
    </row>
    <row r="18">
      <c r="A18" s="4" t="inlineStr">
        <is>
          <t>W34</t>
        </is>
      </c>
      <c r="B18" s="5">
        <f>E17</f>
        <v/>
      </c>
      <c r="C18" s="5">
        <f>SUMIF(Incassi!A:A,A18,Incassi!I:I)</f>
        <v/>
      </c>
      <c r="D18" s="5">
        <f>SUMIF(Pagamenti!A:A,A18,Pagamenti!E:E)</f>
        <v/>
      </c>
      <c r="E18" s="5">
        <f>B18+C18-D18</f>
        <v/>
      </c>
      <c r="F18" s="5">
        <f>250000+E18</f>
        <v/>
      </c>
      <c r="G18" s="5">
        <f>IF(E18&lt;0,-E18,0)</f>
        <v/>
      </c>
      <c r="H18" s="4">
        <f>IF(F18&lt;0,"SCONFINAMENTO",IF(F18&lt;40000,"tensione",""))</f>
        <v/>
      </c>
    </row>
    <row r="20">
      <c r="A20" s="11" t="inlineStr">
        <is>
          <t>(L.T.) se il Criotech va pagato in W24 e il Tosano slitta di una settimana, in W25 siamo fuori fido.</t>
        </is>
      </c>
    </row>
    <row r="21">
      <c r="A21" s="11" t="inlineStr">
        <is>
          <t>(L.T.) chiesto a UniCredit ampliamento anticipo a 500.000. Risposta attesa entro il 20/06.</t>
        </is>
      </c>
    </row>
    <row r="22">
      <c r="A22" s="11" t="inlineStr">
        <is>
          <t>(G.B. a penna sul foglio stampato) 'chiedere a Rossi se anticipa il pagamento in cambio di 1 punto'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Ipotesi alla base del previsionale</t>
        </is>
      </c>
    </row>
    <row r="4">
      <c r="A4" s="12" t="inlineStr">
        <is>
          <t>1. Tosano paga a 90 gg d.f.f.m. - storicamente slitta di 4-7 giorni oltre la scadenza teorica</t>
        </is>
      </c>
    </row>
    <row r="5">
      <c r="A5" s="12" t="inlineStr">
        <is>
          <t>2. Sconto merce 2% dedotto in fattura, contributo promo liquidato a fine anno (non in cassa qui)</t>
        </is>
      </c>
    </row>
    <row r="6">
      <c r="A6" s="12" t="inlineStr">
        <is>
          <t>3. Rossetto: prudenzialmente al 50% per la contestazione sul richiamo</t>
        </is>
      </c>
    </row>
    <row r="7">
      <c r="A7" s="12" t="inlineStr">
        <is>
          <t>4. Criotech: acconto 30% + saldo 60% alla consegna prevista fine luglio + 10% al collaudo (settembre)</t>
        </is>
      </c>
    </row>
    <row r="8">
      <c r="A8" s="12" t="inlineStr">
        <is>
          <t>5. Non è considerato il credito d'imposta 4.0 (compensabile solo dopo l'interconnessione - vedi nota Bellotto)</t>
        </is>
      </c>
    </row>
    <row r="9">
      <c r="A9" s="12" t="inlineStr">
        <is>
          <t>6. Non è considerato il costo del ritiro dei lotti L26130/L26131 stimato in 31.500 € (decisione sospesa)</t>
        </is>
      </c>
    </row>
    <row r="10">
      <c r="A10" s="12" t="inlineStr">
        <is>
          <t>7. Agosto: 3 settimane di chiusura, incassi storicamente in ritardo di 10 gg</t>
        </is>
      </c>
    </row>
    <row r="11">
      <c r="A11" s="12" t="inlineStr">
        <is>
          <t>8. Non sono considerati eventuali oneri per la contestazione sindacale sugli straordinari</t>
        </is>
      </c>
    </row>
    <row r="14">
      <c r="A14" s="13" t="inlineStr">
        <is>
          <t>rischio principale: concentrazione su un solo cliente (vedi analisi marginalità)</t>
        </is>
      </c>
    </row>
    <row r="20">
      <c r="A20" s="14" t="inlineStr">
        <is>
          <t>VERSIONE SUPERATA - fare riferimento al file senza (2) - L.T. 06/06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615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previsionale cassa giugno-agosto DEF (2)</dc:title>
  <dc:creator>Luisa Trentin</dc:creator>
  <cp:lastModifiedBy>Giancarlo Bertoldi</cp:lastModifiedBy>
  <cp:revision>39</cp:revision>
  <dc:description/>
  <dcterms:created xsi:type="dcterms:W3CDTF">2025-10-30T17:22:20Z</dcterms:created>
  <dcterms:modified xsi:type="dcterms:W3CDTF">2026-06-05T18:22:20Z</dcterms:modified>
  <cp:company>Aurora Food Group S.r.l.</cp:company>
</cp:coreProperties>
</file>