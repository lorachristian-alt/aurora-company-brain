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ico" sheetId="1" state="visible" r:id="rId1"/>
    <sheet xmlns:r="http://schemas.openxmlformats.org/officeDocument/2006/relationships" name="Scarico" sheetId="2" state="visible" r:id="rId2"/>
    <sheet xmlns:r="http://schemas.openxmlformats.org/officeDocument/2006/relationships" name="Do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REGISTRO CARICO MATERIALI MOCA - MOD-MAG-02 rev.3</t>
        </is>
      </c>
      <c r="B1" s="1" t="inlineStr">
        <is>
          <t>REGISTRO CARICO MATERIALI MOCA - MOD-MAG-02 rev.3</t>
        </is>
      </c>
      <c r="C1" s="1" t="inlineStr">
        <is>
          <t>REGISTRO CARICO MATERIALI MOCA - MOD-MAG-02 rev.3</t>
        </is>
      </c>
      <c r="D1" s="1" t="inlineStr">
        <is>
          <t>REGISTRO CARICO MATERIALI MOCA - MOD-MAG-02 rev.3</t>
        </is>
      </c>
      <c r="E1" s="1" t="inlineStr">
        <is>
          <t>REGISTRO CARICO MATERIALI MOCA - MOD-MAG-02 rev.3</t>
        </is>
      </c>
      <c r="F1" s="1" t="inlineStr">
        <is>
          <t>REGISTRO CARICO MATERIALI MOCA - MOD-MAG-02 rev.3</t>
        </is>
      </c>
      <c r="G1" s="1" t="inlineStr">
        <is>
          <t>REGISTRO CARICO MATERIALI MOCA - MOD-MAG-02 rev.3</t>
        </is>
      </c>
      <c r="H1" s="1" t="inlineStr">
        <is>
          <t>REGISTRO CARICO MATERIALI MOCA - MOD-MAG-02 rev.3</t>
        </is>
      </c>
      <c r="I1" s="1" t="inlineStr">
        <is>
          <t>REGISTRO CARICO MATERIALI MOCA - MOD-MAG-02 rev.3</t>
        </is>
      </c>
      <c r="J1" s="1" t="inlineStr">
        <is>
          <t>REGISTRO CARICO MATERIALI MOCA - MOD-MAG-02 rev.3</t>
        </is>
      </c>
      <c r="K1" s="1" t="inlineStr">
        <is>
          <t>REGISTRO CARICO MATERIALI MOCA - MOD-MAG-02 rev.3</t>
        </is>
      </c>
      <c r="L1" s="1" t="inlineStr">
        <is>
          <t>REGISTRO CARICO MATERIALI MOCA - MOD-MAG-02 rev.3</t>
        </is>
      </c>
    </row>
    <row r="2">
      <c r="A2" s="1" t="inlineStr">
        <is>
          <t>Data_ingresso</t>
        </is>
      </c>
      <c r="B2" s="1" t="inlineStr">
        <is>
          <t>N_DDT</t>
        </is>
      </c>
      <c r="C2" s="1" t="inlineStr">
        <is>
          <t>Fornitore</t>
        </is>
      </c>
      <c r="D2" s="1" t="inlineStr">
        <is>
          <t>Cod_articolo</t>
        </is>
      </c>
      <c r="E2" s="1" t="inlineStr">
        <is>
          <t>Descrizione</t>
        </is>
      </c>
      <c r="F2" s="1" t="inlineStr">
        <is>
          <t>Lotto_fornitore</t>
        </is>
      </c>
      <c r="G2" s="1" t="inlineStr">
        <is>
          <t>Quantità</t>
        </is>
      </c>
      <c r="H2" s="1" t="inlineStr">
        <is>
          <t>UM</t>
        </is>
      </c>
      <c r="I2" s="1" t="inlineStr">
        <is>
          <t>DoC_riferimento</t>
        </is>
      </c>
      <c r="J2" s="1" t="inlineStr">
        <is>
          <t>Ubicazione</t>
        </is>
      </c>
      <c r="K2" s="1" t="inlineStr">
        <is>
          <t>Operatore</t>
        </is>
      </c>
      <c r="L2" s="1" t="inlineStr">
        <is>
          <t>Note</t>
        </is>
      </c>
    </row>
    <row r="3">
      <c r="A3" s="1" t="inlineStr">
        <is>
          <t>07/01/2026</t>
        </is>
      </c>
      <c r="B3" s="1" t="n">
        <v>118</v>
      </c>
      <c r="C3" s="1" t="inlineStr">
        <is>
          <t>Flexipack Nordest S.r.l. (F0044)</t>
        </is>
      </c>
      <c r="D3" s="1" t="inlineStr">
        <is>
          <t>FLX-F450</t>
        </is>
      </c>
      <c r="E3" s="1" t="inlineStr">
        <is>
          <t>Film MAP PP/EVOH/PP h450 mm bobina</t>
        </is>
      </c>
      <c r="F3" s="1" t="inlineStr">
        <is>
          <t>FLX-2025-9917</t>
        </is>
      </c>
      <c r="G3" s="1" t="n">
        <v>18</v>
      </c>
      <c r="H3" s="1" t="inlineStr">
        <is>
          <t>bobine</t>
        </is>
      </c>
      <c r="I3" s="1">
        <f>CERCA.VERT(F3;DoC!A:D;3;FALSO)</f>
        <v/>
      </c>
      <c r="J3" s="1" t="inlineStr">
        <is>
          <t>MAG IMBALLI - scaff. B2</t>
        </is>
      </c>
      <c r="K3" s="1" t="inlineStr">
        <is>
          <t>Faggionato N.</t>
        </is>
      </c>
    </row>
    <row r="4">
      <c r="A4" s="1" t="inlineStr">
        <is>
          <t>07/01/2026</t>
        </is>
      </c>
      <c r="B4" s="1" t="n">
        <v>118</v>
      </c>
      <c r="C4" s="1" t="inlineStr">
        <is>
          <t>Flexipack Nordest S.r.l. (F0044)</t>
        </is>
      </c>
      <c r="D4" s="1" t="inlineStr">
        <is>
          <t>FLX-F300</t>
        </is>
      </c>
      <c r="E4" s="1" t="inlineStr">
        <is>
          <t>Film MAP PP/EVOH/PP h300 mm bobina</t>
        </is>
      </c>
      <c r="F4" s="1" t="inlineStr">
        <is>
          <t>FLX-2025-9918</t>
        </is>
      </c>
      <c r="G4" s="1" t="n">
        <v>10</v>
      </c>
      <c r="H4" s="1" t="inlineStr">
        <is>
          <t>bobine</t>
        </is>
      </c>
      <c r="I4" s="1" t="inlineStr">
        <is>
          <t>DoC-FLX-2025-114</t>
        </is>
      </c>
      <c r="J4" s="1" t="inlineStr">
        <is>
          <t>MAG IMBALLI - scaff. B2</t>
        </is>
      </c>
      <c r="K4" s="1" t="inlineStr">
        <is>
          <t>Faggionato N.</t>
        </is>
      </c>
    </row>
    <row r="5">
      <c r="A5" s="1" t="inlineStr">
        <is>
          <t>07/01/2026</t>
        </is>
      </c>
      <c r="B5" s="1" t="n">
        <v>118</v>
      </c>
      <c r="C5" s="1" t="inlineStr">
        <is>
          <t>Flexipack Nordest S.r.l. (F0044)</t>
        </is>
      </c>
      <c r="D5" s="1" t="inlineStr">
        <is>
          <t>FLX-V90</t>
        </is>
      </c>
      <c r="E5" s="1" t="inlineStr">
        <is>
          <t>Vaschetta PP nera 190x144x38</t>
        </is>
      </c>
      <c r="F5" s="1" t="inlineStr">
        <is>
          <t>FLX-2025-9921</t>
        </is>
      </c>
      <c r="G5" s="1" t="n">
        <v>42</v>
      </c>
      <c r="H5" s="1" t="inlineStr">
        <is>
          <t>pz</t>
        </is>
      </c>
      <c r="I5" s="1" t="inlineStr">
        <is>
          <t>DoC-FLX-2025-114</t>
        </is>
      </c>
      <c r="J5" s="1" t="inlineStr">
        <is>
          <t>MAG IMBALLI - scaff. C1</t>
        </is>
      </c>
      <c r="K5" s="1" t="inlineStr">
        <is>
          <t>Faggionato N.</t>
        </is>
      </c>
      <c r="L5" s="1" t="inlineStr">
        <is>
          <t>bancali 6</t>
        </is>
      </c>
    </row>
    <row r="6">
      <c r="A6" s="1" t="inlineStr">
        <is>
          <t>14/01/2026</t>
        </is>
      </c>
      <c r="B6" s="1" t="n">
        <v>344</v>
      </c>
      <c r="C6" s="1" t="inlineStr">
        <is>
          <t>Euroglass Boccacci S.r.l. (F0031)</t>
        </is>
      </c>
      <c r="D6" s="1" t="inlineStr">
        <is>
          <t>EGB-V212</t>
        </is>
      </c>
      <c r="E6" s="1" t="inlineStr">
        <is>
          <t>Vasetto vetro 212 ml bocca TO63</t>
        </is>
      </c>
      <c r="F6" s="1" t="inlineStr">
        <is>
          <t>EG-26-0031</t>
        </is>
      </c>
      <c r="G6" s="1" t="n">
        <v>28.8</v>
      </c>
      <c r="H6" s="1" t="inlineStr">
        <is>
          <t>pz</t>
        </is>
      </c>
      <c r="I6" s="1" t="inlineStr">
        <is>
          <t>DoC-EG-2026-004</t>
        </is>
      </c>
      <c r="J6" s="1" t="inlineStr">
        <is>
          <t>MAG IMBALLI - zona vetro</t>
        </is>
      </c>
      <c r="K6" s="1" t="inlineStr">
        <is>
          <t>Faggionato N.</t>
        </is>
      </c>
      <c r="L6" s="1" t="inlineStr">
        <is>
          <t>2 pz rotti al controllo, segnalato</t>
        </is>
      </c>
    </row>
    <row r="7">
      <c r="A7" s="1" t="inlineStr">
        <is>
          <t>14/01/2026</t>
        </is>
      </c>
      <c r="B7" s="1" t="n">
        <v>344</v>
      </c>
      <c r="C7" s="1" t="inlineStr">
        <is>
          <t>Euroglass Boccacci S.r.l. (F0031)</t>
        </is>
      </c>
      <c r="D7" s="1" t="inlineStr">
        <is>
          <t>EGB-C63</t>
        </is>
      </c>
      <c r="E7" s="1" t="inlineStr">
        <is>
          <t>Capsula twist-off TO63 pasteur.</t>
        </is>
      </c>
      <c r="F7" s="1" t="inlineStr">
        <is>
          <t>EG-26-0032</t>
        </is>
      </c>
      <c r="G7" s="1" t="n">
        <v>30</v>
      </c>
      <c r="H7" s="1" t="inlineStr">
        <is>
          <t>pz</t>
        </is>
      </c>
      <c r="I7" s="1" t="inlineStr">
        <is>
          <t>DoC-EG-2026-004</t>
        </is>
      </c>
      <c r="J7" s="1" t="inlineStr">
        <is>
          <t>MAG IMBALLI - zona vetro</t>
        </is>
      </c>
      <c r="K7" s="1" t="inlineStr">
        <is>
          <t>Faggionato N.</t>
        </is>
      </c>
    </row>
    <row r="8">
      <c r="A8" s="1" t="inlineStr">
        <is>
          <t>21/01/2026</t>
        </is>
      </c>
      <c r="B8" s="1" t="n">
        <v>207</v>
      </c>
      <c r="C8" s="1" t="inlineStr">
        <is>
          <t>Flexipack Nordest S.r.l. (F0044)</t>
        </is>
      </c>
      <c r="D8" s="1" t="inlineStr">
        <is>
          <t>FLX-F450</t>
        </is>
      </c>
      <c r="E8" s="1" t="inlineStr">
        <is>
          <t>Film MAP PP/EVOH/PP h450 mm bobina</t>
        </is>
      </c>
      <c r="F8" s="1" t="inlineStr">
        <is>
          <t>FLX-2026-0118</t>
        </is>
      </c>
      <c r="G8" s="1" t="n">
        <v>20</v>
      </c>
      <c r="H8" s="1" t="inlineStr">
        <is>
          <t>bobine</t>
        </is>
      </c>
      <c r="I8" s="1" t="inlineStr">
        <is>
          <t>DoC-FLX-2026-011</t>
        </is>
      </c>
      <c r="J8" s="1" t="inlineStr">
        <is>
          <t>MAG IMBALLI - scaff. B2</t>
        </is>
      </c>
      <c r="K8" s="1" t="inlineStr">
        <is>
          <t>Marchi D.</t>
        </is>
      </c>
    </row>
    <row r="9">
      <c r="A9" s="1" t="inlineStr">
        <is>
          <t>21/01/2026</t>
        </is>
      </c>
      <c r="B9" s="1" t="n">
        <v>207</v>
      </c>
      <c r="C9" s="1" t="inlineStr">
        <is>
          <t>Flexipack Nordest S.r.l. (F0044)</t>
        </is>
      </c>
      <c r="D9" s="1" t="inlineStr">
        <is>
          <t>FLX-B520</t>
        </is>
      </c>
      <c r="E9" s="1" t="inlineStr">
        <is>
          <t>Film accoppiato base vaschetta h520</t>
        </is>
      </c>
      <c r="F9" s="1" t="inlineStr">
        <is>
          <t>FLX-2026-0119</t>
        </is>
      </c>
      <c r="G9" s="1" t="n">
        <v>8</v>
      </c>
      <c r="H9" s="1" t="inlineStr">
        <is>
          <t>bobine</t>
        </is>
      </c>
      <c r="I9" s="1" t="inlineStr">
        <is>
          <t>DoC-FLX-2026-011</t>
        </is>
      </c>
      <c r="J9" s="1" t="inlineStr">
        <is>
          <t>MAG IMBALLI - scaff. B3</t>
        </is>
      </c>
      <c r="K9" s="1" t="inlineStr">
        <is>
          <t>Marchi D.</t>
        </is>
      </c>
    </row>
    <row r="10">
      <c r="A10" s="1" t="inlineStr">
        <is>
          <t>28/01/2026</t>
        </is>
      </c>
      <c r="B10" s="1" t="n">
        <v>289</v>
      </c>
      <c r="C10" s="1" t="inlineStr">
        <is>
          <t>Rational Pack S.r.l. (F0095)</t>
        </is>
      </c>
      <c r="D10" s="1" t="inlineStr">
        <is>
          <t>RP-CT40</t>
        </is>
      </c>
      <c r="E10" s="1" t="inlineStr">
        <is>
          <t>Cartone ondulato americana 400x300x180</t>
        </is>
      </c>
      <c r="F10" s="1" t="inlineStr">
        <is>
          <t>RP-26-1102</t>
        </is>
      </c>
      <c r="G10" s="1" t="n">
        <v>12</v>
      </c>
      <c r="H10" s="1" t="inlineStr">
        <is>
          <t>pz</t>
        </is>
      </c>
      <c r="I10" s="1" t="inlineStr">
        <is>
          <t>DoC-RP-2026-002</t>
        </is>
      </c>
      <c r="J10" s="1" t="inlineStr">
        <is>
          <t>MAG IMBALLI - zona cartone</t>
        </is>
      </c>
      <c r="K10" s="1" t="inlineStr">
        <is>
          <t>Faggionato N.</t>
        </is>
      </c>
      <c r="L10" s="1" t="inlineStr">
        <is>
          <t>imballo secondario, DoC generica annuale</t>
        </is>
      </c>
    </row>
    <row r="11">
      <c r="A11" s="1" t="inlineStr">
        <is>
          <t>04/02/2026</t>
        </is>
      </c>
      <c r="B11" s="1" t="n">
        <v>356</v>
      </c>
      <c r="C11" s="1" t="inlineStr">
        <is>
          <t>Flexipack Nordest S.r.l. (F0044)</t>
        </is>
      </c>
      <c r="D11" s="1" t="inlineStr">
        <is>
          <t>FLX-F450</t>
        </is>
      </c>
      <c r="E11" s="1" t="inlineStr">
        <is>
          <t>Film MAP PP/EVOH/PP h450 mm bobina</t>
        </is>
      </c>
      <c r="F11" s="1" t="inlineStr">
        <is>
          <t>FLX-2026-0201</t>
        </is>
      </c>
      <c r="G11" s="1" t="n">
        <v>18</v>
      </c>
      <c r="H11" s="1" t="inlineStr">
        <is>
          <t>bobine</t>
        </is>
      </c>
      <c r="I11" s="1" t="inlineStr">
        <is>
          <t>DoC-FLX-2026-011</t>
        </is>
      </c>
      <c r="J11" s="1" t="inlineStr">
        <is>
          <t>MAG IMBALLI - scaff. B2</t>
        </is>
      </c>
      <c r="K11" s="1" t="inlineStr">
        <is>
          <t>Faggionato N.</t>
        </is>
      </c>
    </row>
    <row r="12">
      <c r="A12" s="1" t="inlineStr">
        <is>
          <t>04/02/2026</t>
        </is>
      </c>
      <c r="B12" s="1" t="n">
        <v>356</v>
      </c>
      <c r="C12" s="1" t="inlineStr">
        <is>
          <t>Flexipack Nordest S.r.l. (F0044)</t>
        </is>
      </c>
      <c r="D12" s="1" t="inlineStr">
        <is>
          <t>FLX-V90</t>
        </is>
      </c>
      <c r="E12" s="1" t="inlineStr">
        <is>
          <t>Vaschetta PP nera 190x144x38</t>
        </is>
      </c>
      <c r="F12" s="1" t="inlineStr">
        <is>
          <t>FLX-2026-0204</t>
        </is>
      </c>
      <c r="G12" s="1" t="n">
        <v>42</v>
      </c>
      <c r="H12" s="1" t="inlineStr">
        <is>
          <t>pz</t>
        </is>
      </c>
      <c r="I12" s="1" t="inlineStr">
        <is>
          <t>DoC-FLX-2026-011</t>
        </is>
      </c>
      <c r="J12" s="1" t="inlineStr">
        <is>
          <t>MAG IMBALLI - scaff. C1</t>
        </is>
      </c>
      <c r="K12" s="1" t="inlineStr">
        <is>
          <t>Faggionato N.</t>
        </is>
      </c>
    </row>
    <row r="13">
      <c r="A13" s="1" t="inlineStr">
        <is>
          <t>04/02/2026</t>
        </is>
      </c>
      <c r="B13" s="1" t="n">
        <v>356</v>
      </c>
      <c r="C13" s="1" t="inlineStr">
        <is>
          <t>Flexipack Nordest S.r.l. (F0044)</t>
        </is>
      </c>
      <c r="D13" s="1" t="inlineStr">
        <is>
          <t>FLX-S45</t>
        </is>
      </c>
      <c r="E13" s="1" t="inlineStr">
        <is>
          <t>Sacchetto PE croissanteria 6x50</t>
        </is>
      </c>
      <c r="F13" s="1" t="inlineStr">
        <is>
          <t>FLX-2026-0205</t>
        </is>
      </c>
      <c r="G13" s="1" t="n">
        <v>60</v>
      </c>
      <c r="H13" s="1" t="inlineStr">
        <is>
          <t>pz</t>
        </is>
      </c>
      <c r="I13" s="1" t="inlineStr">
        <is>
          <t>#N/D</t>
        </is>
      </c>
      <c r="J13" s="1" t="inlineStr">
        <is>
          <t>MAG IMBALLI - scaff. C3</t>
        </is>
      </c>
      <c r="K13" s="1" t="inlineStr">
        <is>
          <t>Faggionato N.</t>
        </is>
      </c>
      <c r="L13" s="1" t="inlineStr">
        <is>
          <t>DoC non allegata al DDT!! richiesta via mail a Flexipack il 05/02, sollecito 12/02</t>
        </is>
      </c>
    </row>
    <row r="14">
      <c r="A14" s="1" t="inlineStr">
        <is>
          <t>11/02/2026</t>
        </is>
      </c>
      <c r="B14" s="1" t="n">
        <v>1204</v>
      </c>
      <c r="C14" s="1" t="inlineStr">
        <is>
          <t>Nordgas S.p.A. (F0061)</t>
        </is>
      </c>
      <c r="D14" s="1" t="inlineStr">
        <is>
          <t>NG-N2</t>
        </is>
      </c>
      <c r="E14" s="1" t="inlineStr">
        <is>
          <t>Azoto alimentare E941 pacco bombole</t>
        </is>
      </c>
      <c r="F14" s="1" t="inlineStr">
        <is>
          <t>NG-26-3341</t>
        </is>
      </c>
      <c r="G14" s="1" t="n">
        <v>4</v>
      </c>
      <c r="H14" s="1" t="inlineStr">
        <is>
          <t>pacchi</t>
        </is>
      </c>
      <c r="I14" s="1" t="inlineStr">
        <is>
          <t>certif. alimentarità E941 annuale</t>
        </is>
      </c>
      <c r="J14" s="1" t="inlineStr">
        <is>
          <t>area gas esterna</t>
        </is>
      </c>
      <c r="K14" s="1" t="inlineStr">
        <is>
          <t>Dal Maso I.</t>
        </is>
      </c>
      <c r="L14" s="1" t="inlineStr">
        <is>
          <t>gas di processo MAP - registrato qui per tracciabilità anche se non MOCA in senso stretto</t>
        </is>
      </c>
    </row>
    <row r="15">
      <c r="A15" s="1" t="inlineStr">
        <is>
          <t>18/02/2026</t>
        </is>
      </c>
      <c r="B15" s="1" t="n">
        <v>478</v>
      </c>
      <c r="C15" s="1" t="inlineStr">
        <is>
          <t>Flexipack Nordest S.r.l. (F0044)</t>
        </is>
      </c>
      <c r="D15" s="1" t="inlineStr">
        <is>
          <t>FLX-F300</t>
        </is>
      </c>
      <c r="E15" s="1" t="inlineStr">
        <is>
          <t>Film MAP PP/EVOH/PP h300 mm bobina</t>
        </is>
      </c>
      <c r="F15" s="1" t="inlineStr">
        <is>
          <t>FLX-2026-0244</t>
        </is>
      </c>
      <c r="G15" s="1" t="n">
        <v>12</v>
      </c>
      <c r="H15" s="1" t="inlineStr">
        <is>
          <t>bobine</t>
        </is>
      </c>
      <c r="I15" s="1" t="inlineStr">
        <is>
          <t>DoC-FLX-2026-011</t>
        </is>
      </c>
      <c r="J15" s="1" t="inlineStr">
        <is>
          <t>MAG IMBALLI - scaff. B2</t>
        </is>
      </c>
      <c r="K15" s="1" t="inlineStr">
        <is>
          <t>Marchi D.</t>
        </is>
      </c>
    </row>
    <row r="16">
      <c r="A16" s="1" t="inlineStr">
        <is>
          <t>25/02/2026</t>
        </is>
      </c>
      <c r="B16" s="1" t="n">
        <v>521</v>
      </c>
      <c r="C16" s="1" t="inlineStr">
        <is>
          <t>Flexipack Nordest S.r.l. (F0044)</t>
        </is>
      </c>
      <c r="D16" s="1" t="inlineStr">
        <is>
          <t>FLX-F450</t>
        </is>
      </c>
      <c r="E16" s="1" t="inlineStr">
        <is>
          <t>Film MAP PP/EVOH/PP h450 mm bobina</t>
        </is>
      </c>
      <c r="F16" s="1" t="inlineStr">
        <is>
          <t>FLX-2026-0299</t>
        </is>
      </c>
      <c r="G16" s="1" t="n">
        <v>20</v>
      </c>
      <c r="H16" s="1" t="inlineStr">
        <is>
          <t>bobine</t>
        </is>
      </c>
      <c r="I16" s="1" t="inlineStr">
        <is>
          <t>DoC-FLX-2026-011</t>
        </is>
      </c>
      <c r="J16" s="1" t="inlineStr">
        <is>
          <t>MAG IMBALLI - scaff. B2</t>
        </is>
      </c>
      <c r="K16" s="1" t="inlineStr">
        <is>
          <t>Faggionato N.</t>
        </is>
      </c>
      <c r="L16" s="1" t="inlineStr">
        <is>
          <t>1 bobina ammaccata sul fianco, accettata con riserva foto al DDT</t>
        </is>
      </c>
    </row>
    <row r="17">
      <c r="A17" s="1" t="inlineStr">
        <is>
          <t>04/03/2026</t>
        </is>
      </c>
      <c r="B17" s="1" t="n">
        <v>633</v>
      </c>
      <c r="C17" s="1" t="inlineStr">
        <is>
          <t>Flexipack Nordest S.r.l. (F0044)</t>
        </is>
      </c>
      <c r="D17" s="1" t="inlineStr">
        <is>
          <t>FLX-V90</t>
        </is>
      </c>
      <c r="E17" s="1" t="inlineStr">
        <is>
          <t>Vaschetta PP nera 190x144x38</t>
        </is>
      </c>
      <c r="F17" s="1" t="inlineStr">
        <is>
          <t>FLX-2026-0350</t>
        </is>
      </c>
      <c r="G17" s="1" t="n">
        <v>42</v>
      </c>
      <c r="H17" s="1" t="inlineStr">
        <is>
          <t>pz</t>
        </is>
      </c>
      <c r="I17" s="1" t="inlineStr">
        <is>
          <t>DoC-FLX-2026-035</t>
        </is>
      </c>
      <c r="J17" s="1" t="inlineStr">
        <is>
          <t>MAG IMBALLI - scaff. C1</t>
        </is>
      </c>
      <c r="K17" s="1" t="inlineStr">
        <is>
          <t>Faggionato N.</t>
        </is>
      </c>
      <c r="L17" s="1" t="inlineStr">
        <is>
          <t>nuova DoC rev. per cambio masterbatch colore</t>
        </is>
      </c>
    </row>
    <row r="18">
      <c r="A18" s="1" t="inlineStr">
        <is>
          <t>04/03/2026</t>
        </is>
      </c>
      <c r="B18" s="1" t="n">
        <v>633</v>
      </c>
      <c r="C18" s="1" t="inlineStr">
        <is>
          <t>Flexipack Nordest S.r.l. (F0044)</t>
        </is>
      </c>
      <c r="D18" s="1" t="inlineStr">
        <is>
          <t>FLX-F450</t>
        </is>
      </c>
      <c r="E18" s="1" t="inlineStr">
        <is>
          <t>Film MAP PP/EVOH/PP h450 mm bobina</t>
        </is>
      </c>
      <c r="F18" s="1" t="inlineStr">
        <is>
          <t>FLX-2026-0351</t>
        </is>
      </c>
      <c r="G18" s="1" t="n">
        <v>18</v>
      </c>
      <c r="H18" s="1" t="inlineStr">
        <is>
          <t>bobine</t>
        </is>
      </c>
      <c r="I18" s="1" t="inlineStr">
        <is>
          <t>DoC-FLX-2026-035</t>
        </is>
      </c>
      <c r="J18" s="1" t="inlineStr">
        <is>
          <t>MAG IMBALLI - scaff. B2</t>
        </is>
      </c>
      <c r="K18" s="1" t="inlineStr">
        <is>
          <t>Faggionato N.</t>
        </is>
      </c>
    </row>
    <row r="19">
      <c r="A19" s="1" t="inlineStr">
        <is>
          <t>11/03/2026</t>
        </is>
      </c>
      <c r="B19" s="1" t="n">
        <v>702</v>
      </c>
      <c r="C19" s="1" t="inlineStr">
        <is>
          <t>Euroglass Boccacci S.r.l. (F0031)</t>
        </is>
      </c>
      <c r="D19" s="1" t="inlineStr">
        <is>
          <t>EGB-V212</t>
        </is>
      </c>
      <c r="E19" s="1" t="inlineStr">
        <is>
          <t>Vasetto vetro 212 ml bocca TO63</t>
        </is>
      </c>
      <c r="F19" s="1" t="inlineStr">
        <is>
          <t>EG-26-0210</t>
        </is>
      </c>
      <c r="G19" s="1" t="n">
        <v>28.8</v>
      </c>
      <c r="H19" s="1" t="inlineStr">
        <is>
          <t>pz</t>
        </is>
      </c>
      <c r="I19" s="1" t="inlineStr">
        <is>
          <t>DoC-EG-2026-004</t>
        </is>
      </c>
      <c r="J19" s="1" t="inlineStr">
        <is>
          <t>MAG IMBALLI - zona vetro</t>
        </is>
      </c>
      <c r="K19" s="1" t="inlineStr">
        <is>
          <t>Marchi D.</t>
        </is>
      </c>
    </row>
    <row r="20">
      <c r="A20" s="1" t="inlineStr">
        <is>
          <t>18/03/2026</t>
        </is>
      </c>
      <c r="B20" s="1" t="inlineStr">
        <is>
          <t>788;Flexipack Nordest S.r.l. (F0044);FLX-F450;Film MAP PP/EVOH/PP h450 mm bobina;FLX-2026-0402;20;bobine;DoC-FLX-2026-035;MAG IMBALLI - scaff. B2;Faggionato N.;riga importata male dal gestionale</t>
        </is>
      </c>
    </row>
    <row r="21">
      <c r="A21" s="1" t="inlineStr">
        <is>
          <t>18/03/2026</t>
        </is>
      </c>
      <c r="B21" s="1" t="n">
        <v>788</v>
      </c>
      <c r="C21" s="1" t="inlineStr">
        <is>
          <t>Flexipack Nordest S.r.l. (F0044)</t>
        </is>
      </c>
      <c r="D21" s="1" t="inlineStr">
        <is>
          <t>FLX-S45</t>
        </is>
      </c>
      <c r="E21" s="1" t="inlineStr">
        <is>
          <t>Sacchetto PE croissanteria 6x50</t>
        </is>
      </c>
      <c r="F21" s="1" t="inlineStr">
        <is>
          <t>FLX-2026-0403</t>
        </is>
      </c>
      <c r="G21" s="1" t="n">
        <v>60</v>
      </c>
      <c r="H21" s="1" t="inlineStr">
        <is>
          <t>pz</t>
        </is>
      </c>
      <c r="I21" s="1" t="inlineStr">
        <is>
          <t>DoC-FLX-2026-035</t>
        </is>
      </c>
      <c r="J21" s="1" t="inlineStr">
        <is>
          <t>MAG IMBALLI - scaff. C3</t>
        </is>
      </c>
      <c r="K21" s="1" t="inlineStr">
        <is>
          <t>Faggionato N.</t>
        </is>
      </c>
      <c r="L21" s="1" t="inlineStr">
        <is>
          <t>DoC di febbraio mai arrivata, questa copre anche il sacchetto - vedi mail Flexipack 15/03</t>
        </is>
      </c>
    </row>
    <row r="22">
      <c r="A22" s="1" t="inlineStr">
        <is>
          <t>25/03/2026</t>
        </is>
      </c>
      <c r="B22" s="1" t="n">
        <v>845</v>
      </c>
      <c r="C22" s="1" t="inlineStr">
        <is>
          <t>Rational Pack S.r.l. (F0095)</t>
        </is>
      </c>
      <c r="D22" s="1" t="inlineStr">
        <is>
          <t>RP-CT40</t>
        </is>
      </c>
      <c r="E22" s="1" t="inlineStr">
        <is>
          <t>Cartone ondulato americana 400x300x180</t>
        </is>
      </c>
      <c r="F22" s="1" t="inlineStr">
        <is>
          <t>RP-26-2011</t>
        </is>
      </c>
      <c r="G22" s="1" t="n">
        <v>12</v>
      </c>
      <c r="H22" s="1" t="inlineStr">
        <is>
          <t>pz</t>
        </is>
      </c>
      <c r="I22" s="1" t="inlineStr">
        <is>
          <t>DoC-RP-2026-002</t>
        </is>
      </c>
      <c r="J22" s="1" t="inlineStr">
        <is>
          <t>MAG IMBALLI - zona cartone</t>
        </is>
      </c>
      <c r="K22" s="1" t="inlineStr">
        <is>
          <t>Marchi D.</t>
        </is>
      </c>
    </row>
    <row r="23">
      <c r="A23" s="1" t="inlineStr">
        <is>
          <t>01/04/2026</t>
        </is>
      </c>
      <c r="B23" s="1" t="n">
        <v>901</v>
      </c>
      <c r="C23" s="1" t="inlineStr">
        <is>
          <t>Flexipack Nordest S.r.l. (F0044)</t>
        </is>
      </c>
      <c r="D23" s="1" t="inlineStr">
        <is>
          <t>FLX-F450</t>
        </is>
      </c>
      <c r="E23" s="1" t="inlineStr">
        <is>
          <t>Film MAP PP/EVOH/PP h450 mm bobina</t>
        </is>
      </c>
      <c r="F23" s="1" t="inlineStr">
        <is>
          <t>FLX-2026-0455</t>
        </is>
      </c>
      <c r="G23" s="1" t="n">
        <v>24</v>
      </c>
      <c r="H23" s="1" t="inlineStr">
        <is>
          <t>bobine</t>
        </is>
      </c>
      <c r="I23" s="1" t="inlineStr">
        <is>
          <t>DoC-FLX-2026-035</t>
        </is>
      </c>
      <c r="J23" s="1" t="inlineStr">
        <is>
          <t>MAG IMBALLI - scaff. B2</t>
        </is>
      </c>
      <c r="K23" s="1" t="inlineStr">
        <is>
          <t>Faggionato N.</t>
        </is>
      </c>
      <c r="L23" s="1" t="inlineStr">
        <is>
          <t>ordine aumentato x promo Tosano sett. 19-21</t>
        </is>
      </c>
    </row>
    <row r="24">
      <c r="A24" s="1" t="inlineStr">
        <is>
          <t>01/04/2026</t>
        </is>
      </c>
      <c r="B24" s="1" t="n">
        <v>901</v>
      </c>
      <c r="C24" s="1" t="inlineStr">
        <is>
          <t>Flexipack Nordest S.r.l. (F0044)</t>
        </is>
      </c>
      <c r="D24" s="1" t="inlineStr">
        <is>
          <t>FLX-F300</t>
        </is>
      </c>
      <c r="E24" s="1" t="inlineStr">
        <is>
          <t>Film MAP PP/EVOH/PP h300 mm bobina</t>
        </is>
      </c>
      <c r="F24" s="1" t="inlineStr">
        <is>
          <t>FLX-2026-0456</t>
        </is>
      </c>
      <c r="G24" s="1" t="n">
        <v>14</v>
      </c>
      <c r="H24" s="1" t="inlineStr">
        <is>
          <t>bobine</t>
        </is>
      </c>
      <c r="I24" s="1" t="inlineStr">
        <is>
          <t>DoC-FLX-2026-035</t>
        </is>
      </c>
      <c r="J24" s="1" t="inlineStr">
        <is>
          <t>MAG IMBALLI - scaff. B2</t>
        </is>
      </c>
      <c r="K24" s="1" t="inlineStr">
        <is>
          <t>Faggionato N.</t>
        </is>
      </c>
    </row>
    <row r="25">
      <c r="A25" s="1" t="inlineStr">
        <is>
          <t>01/04/2026</t>
        </is>
      </c>
      <c r="B25" s="1" t="n">
        <v>901</v>
      </c>
      <c r="C25" s="1" t="inlineStr">
        <is>
          <t>Flexipack Nordest S.r.l. (F0044)</t>
        </is>
      </c>
      <c r="D25" s="1" t="inlineStr">
        <is>
          <t>FLX-V90</t>
        </is>
      </c>
      <c r="E25" s="1" t="inlineStr">
        <is>
          <t>Vaschetta PP nera 190x144x38</t>
        </is>
      </c>
      <c r="F25" s="1" t="inlineStr">
        <is>
          <t>FLX-2026-0457</t>
        </is>
      </c>
      <c r="G25" s="1" t="n">
        <v>84</v>
      </c>
      <c r="H25" s="1" t="inlineStr">
        <is>
          <t>pz</t>
        </is>
      </c>
      <c r="I25" s="1" t="inlineStr">
        <is>
          <t>DoC-FLX-2026-035</t>
        </is>
      </c>
      <c r="J25" s="1" t="inlineStr">
        <is>
          <t>MAG IMBALLI - scaff. C1 + C2</t>
        </is>
      </c>
      <c r="K25" s="1" t="inlineStr">
        <is>
          <t>Faggionato N.</t>
        </is>
      </c>
      <c r="L25" s="1" t="inlineStr">
        <is>
          <t>doppio ordine promo, occupata anche scaff. C2</t>
        </is>
      </c>
    </row>
    <row r="26">
      <c r="A26" s="1" t="inlineStr">
        <is>
          <t>08/04/2026</t>
        </is>
      </c>
      <c r="B26" s="1" t="n">
        <v>967</v>
      </c>
      <c r="C26" s="1" t="inlineStr">
        <is>
          <t>Flexipack Nordest S.r.l. (F0044)</t>
        </is>
      </c>
      <c r="D26" s="1" t="inlineStr">
        <is>
          <t>FLX-S45</t>
        </is>
      </c>
      <c r="E26" s="1" t="inlineStr">
        <is>
          <t>Sacchetto PE croissanteria 6x50</t>
        </is>
      </c>
      <c r="F26" s="1" t="inlineStr">
        <is>
          <t>FLX-2026-0501</t>
        </is>
      </c>
      <c r="G26" s="1" t="n">
        <v>80</v>
      </c>
      <c r="H26" s="1" t="inlineStr">
        <is>
          <t>pz</t>
        </is>
      </c>
      <c r="I26" s="1" t="inlineStr">
        <is>
          <t>DoC-FLX-2026-035</t>
        </is>
      </c>
      <c r="J26" s="1" t="inlineStr">
        <is>
          <t>MAG IMBALLI - scaff. C3</t>
        </is>
      </c>
      <c r="K26" s="1" t="inlineStr">
        <is>
          <t>Marchi D.</t>
        </is>
      </c>
    </row>
    <row r="27">
      <c r="A27" s="1" t="inlineStr">
        <is>
          <t>15/04/2026</t>
        </is>
      </c>
      <c r="B27" s="1" t="n">
        <v>1044</v>
      </c>
      <c r="C27" s="1" t="inlineStr">
        <is>
          <t>Flexipack Nordest S.r.l. (F0044)</t>
        </is>
      </c>
      <c r="D27" s="1" t="inlineStr">
        <is>
          <t>FLX-F450</t>
        </is>
      </c>
      <c r="E27" s="1" t="inlineStr">
        <is>
          <t>Film MAP PP/EVOH/PP h450 mm bobina</t>
        </is>
      </c>
      <c r="F27" s="1" t="inlineStr">
        <is>
          <t>FLX-2026-0544</t>
        </is>
      </c>
      <c r="G27" s="1" t="n">
        <v>20</v>
      </c>
      <c r="H27" s="1" t="inlineStr">
        <is>
          <t>bobine</t>
        </is>
      </c>
      <c r="I27" s="1" t="inlineStr">
        <is>
          <t>DoC-FLX-2026-035</t>
        </is>
      </c>
      <c r="J27" s="1" t="inlineStr">
        <is>
          <t>MAG IMBALLI - scaff. B2</t>
        </is>
      </c>
      <c r="K27" s="1" t="inlineStr">
        <is>
          <t>Faggionato N.</t>
        </is>
      </c>
    </row>
    <row r="28">
      <c r="A28" s="1" t="inlineStr">
        <is>
          <t>15/04/2026</t>
        </is>
      </c>
      <c r="B28" s="1" t="n">
        <v>1044</v>
      </c>
      <c r="C28" s="1" t="inlineStr">
        <is>
          <t>Flexipack Nordest S.r.l. (F0044)</t>
        </is>
      </c>
      <c r="D28" s="1" t="inlineStr">
        <is>
          <t>FLX-S48</t>
        </is>
      </c>
      <c r="E28" s="1" t="inlineStr">
        <is>
          <t>Sacchetto PE croissanteria PL 8x45</t>
        </is>
      </c>
      <c r="F28" s="1" t="inlineStr">
        <is>
          <t>FLX-2026-0545</t>
        </is>
      </c>
      <c r="G28" s="1" t="n">
        <v>70</v>
      </c>
      <c r="H28" s="1" t="inlineStr">
        <is>
          <t>pz</t>
        </is>
      </c>
      <c r="I28" s="1" t="inlineStr">
        <is>
          <t>DoC-FLX-2026-035</t>
        </is>
      </c>
      <c r="J28" s="1" t="inlineStr">
        <is>
          <t>MAG IMBALLI - scaff. C3</t>
        </is>
      </c>
      <c r="K28" s="1" t="inlineStr">
        <is>
          <t>Faggionato N.</t>
        </is>
      </c>
      <c r="L28" s="1" t="inlineStr">
        <is>
          <t>formato Tosano "Bontà di Casa"</t>
        </is>
      </c>
    </row>
    <row r="29">
      <c r="A29" s="1" t="inlineStr">
        <is>
          <t>22/04/2026</t>
        </is>
      </c>
      <c r="B29" s="1" t="n">
        <v>1121</v>
      </c>
      <c r="C29" s="1" t="inlineStr">
        <is>
          <t>Euroglass Boccacci S.r.l. (F0031)</t>
        </is>
      </c>
      <c r="D29" s="1" t="inlineStr">
        <is>
          <t>EGB-C63</t>
        </is>
      </c>
      <c r="E29" s="1" t="inlineStr">
        <is>
          <t>Capsula twist-off TO63 pasteur.</t>
        </is>
      </c>
      <c r="F29" s="1" t="inlineStr">
        <is>
          <t>EG-26-0388</t>
        </is>
      </c>
      <c r="G29" s="1" t="n">
        <v>30</v>
      </c>
      <c r="H29" s="1" t="inlineStr">
        <is>
          <t>pz</t>
        </is>
      </c>
      <c r="I29" s="1" t="inlineStr">
        <is>
          <t>DoC-EG-2026-004</t>
        </is>
      </c>
      <c r="J29" s="1" t="inlineStr">
        <is>
          <t>MAG IMBALLI - zona vetro</t>
        </is>
      </c>
      <c r="K29" s="1" t="inlineStr">
        <is>
          <t>Marchi D.</t>
        </is>
      </c>
    </row>
    <row r="30">
      <c r="A30" s="1" t="inlineStr">
        <is>
          <t>29/04/2026</t>
        </is>
      </c>
      <c r="B30" s="1" t="n">
        <v>1187</v>
      </c>
      <c r="C30" s="1" t="inlineStr">
        <is>
          <t>Flexipack Nordest S.r.l. (F0044)</t>
        </is>
      </c>
      <c r="D30" s="1" t="inlineStr">
        <is>
          <t>FLX-F450</t>
        </is>
      </c>
      <c r="E30" s="1" t="inlineStr">
        <is>
          <t>Film MAP PP/EVOH/PP h450 mm bobina</t>
        </is>
      </c>
      <c r="F30" s="1" t="inlineStr">
        <is>
          <t>FLX-2026-0602</t>
        </is>
      </c>
      <c r="G30" s="1" t="n">
        <v>22</v>
      </c>
      <c r="H30" s="1" t="inlineStr">
        <is>
          <t>bobine</t>
        </is>
      </c>
      <c r="I30" s="1" t="inlineStr">
        <is>
          <t>DoC-FLX-2026-035</t>
        </is>
      </c>
      <c r="J30" s="1" t="inlineStr">
        <is>
          <t>MAG IMBALLI - scaff. B2</t>
        </is>
      </c>
      <c r="K30" s="1" t="inlineStr">
        <is>
          <t>Faggionato N.</t>
        </is>
      </c>
    </row>
    <row r="31">
      <c r="A31" s="1" t="inlineStr">
        <is>
          <t>29/04/2026</t>
        </is>
      </c>
      <c r="B31" s="1" t="n">
        <v>1187</v>
      </c>
      <c r="C31" s="1" t="inlineStr">
        <is>
          <t>Flexipack Nordest S.r.l. (F0044)</t>
        </is>
      </c>
      <c r="D31" s="1" t="inlineStr">
        <is>
          <t>FLX-F300</t>
        </is>
      </c>
      <c r="E31" s="1" t="inlineStr">
        <is>
          <t>Film MAP PP/EVOH/PP h300 mm bobina</t>
        </is>
      </c>
      <c r="F31" s="1" t="inlineStr">
        <is>
          <t>FLX-2026-0603</t>
        </is>
      </c>
      <c r="G31" s="1" t="n">
        <v>10</v>
      </c>
      <c r="H31" s="1" t="inlineStr">
        <is>
          <t>bobine</t>
        </is>
      </c>
      <c r="I31" s="1" t="inlineStr">
        <is>
          <t>DoC-FLX-2026-035</t>
        </is>
      </c>
      <c r="J31" s="1" t="inlineStr">
        <is>
          <t>MAG IMBALLI - scaff. B2</t>
        </is>
      </c>
      <c r="K31" s="1" t="inlineStr">
        <is>
          <t>Faggionato N.</t>
        </is>
      </c>
    </row>
    <row r="32">
      <c r="A32" s="1" t="inlineStr">
        <is>
          <t>29/04/2026</t>
        </is>
      </c>
      <c r="B32" s="1" t="n">
        <v>1187</v>
      </c>
      <c r="C32" s="1" t="inlineStr">
        <is>
          <t>Flexipack Nordest S.r.l. (F0044)</t>
        </is>
      </c>
      <c r="D32" s="1" t="inlineStr">
        <is>
          <t>FLX-V90</t>
        </is>
      </c>
      <c r="E32" s="1" t="inlineStr">
        <is>
          <t>Vaschetta PP nera 190x144x38</t>
        </is>
      </c>
      <c r="F32" s="1" t="inlineStr">
        <is>
          <t>FLX-2026-0604</t>
        </is>
      </c>
      <c r="G32" s="1" t="n">
        <v>42</v>
      </c>
      <c r="H32" s="1" t="inlineStr">
        <is>
          <t>pz</t>
        </is>
      </c>
      <c r="I32" s="1" t="inlineStr">
        <is>
          <t>DoC-FLX-2026-035</t>
        </is>
      </c>
      <c r="J32" s="1" t="inlineStr">
        <is>
          <t>MAG IMBALLI - scaff. C1</t>
        </is>
      </c>
      <c r="K32" s="1" t="inlineStr">
        <is>
          <t>Faggionato N.</t>
        </is>
      </c>
    </row>
    <row r="33">
      <c r="A33" s="1" t="inlineStr">
        <is>
          <t>06/05/2026</t>
        </is>
      </c>
      <c r="B33" s="1" t="n">
        <v>1256</v>
      </c>
      <c r="C33" s="1" t="inlineStr">
        <is>
          <t>Flexipack Nordest S.r.l. (F0044)</t>
        </is>
      </c>
      <c r="D33" s="1" t="inlineStr">
        <is>
          <t>FLX-F450</t>
        </is>
      </c>
      <c r="E33" s="1" t="inlineStr">
        <is>
          <t>Film MAP PP/EVOH/PP h450 mm bobina</t>
        </is>
      </c>
      <c r="F33" s="1" t="inlineStr">
        <is>
          <t>FLX-2026-0651</t>
        </is>
      </c>
      <c r="G33" s="1" t="n">
        <v>20</v>
      </c>
      <c r="H33" s="1" t="inlineStr">
        <is>
          <t>bobine</t>
        </is>
      </c>
      <c r="I33" s="1" t="inlineStr">
        <is>
          <t>DoC-FLX-2026-035</t>
        </is>
      </c>
      <c r="J33" s="1" t="inlineStr">
        <is>
          <t>MAG IMBALLI - scaff. B2</t>
        </is>
      </c>
      <c r="K33" s="1" t="inlineStr">
        <is>
          <t>Faggionato N.</t>
        </is>
      </c>
      <c r="L33" s="1" t="inlineStr">
        <is>
          <t>consegna anticipata su richiesta Zanella x settimana promo</t>
        </is>
      </c>
    </row>
    <row r="34">
      <c r="A34" s="1" t="inlineStr">
        <is>
          <t>06/05/2026</t>
        </is>
      </c>
      <c r="B34" s="1" t="n">
        <v>1256</v>
      </c>
      <c r="C34" s="1" t="inlineStr">
        <is>
          <t>Flexipack Nordest S.r.l. (F0044)</t>
        </is>
      </c>
      <c r="D34" s="1" t="inlineStr">
        <is>
          <t>FLX-S48</t>
        </is>
      </c>
      <c r="E34" s="1" t="inlineStr">
        <is>
          <t>Sacchetto PE croissanteria PL 8x45</t>
        </is>
      </c>
      <c r="F34" s="1" t="inlineStr">
        <is>
          <t>FLX-2026-0652</t>
        </is>
      </c>
      <c r="G34" s="1" t="n">
        <v>70</v>
      </c>
      <c r="H34" s="1" t="inlineStr">
        <is>
          <t>pz</t>
        </is>
      </c>
      <c r="I34" s="1" t="inlineStr">
        <is>
          <t>DoC-FLX-2026-035</t>
        </is>
      </c>
      <c r="J34" s="1" t="inlineStr">
        <is>
          <t>MAG IMBALLI - scaff. C3</t>
        </is>
      </c>
      <c r="K34" s="1" t="inlineStr">
        <is>
          <t>Faggionato N.</t>
        </is>
      </c>
    </row>
    <row r="35">
      <c r="A35" s="1" t="inlineStr">
        <is>
          <t>6-mag-26</t>
        </is>
      </c>
      <c r="B35" s="1" t="n">
        <v>1256</v>
      </c>
      <c r="C35" s="1" t="inlineStr">
        <is>
          <t>Flexipack Nordest S.r.l. (F0044)</t>
        </is>
      </c>
      <c r="D35" s="1" t="inlineStr">
        <is>
          <t>FLX-V90</t>
        </is>
      </c>
      <c r="E35" s="1" t="inlineStr">
        <is>
          <t>Vaschetta PP nera 190x144x38</t>
        </is>
      </c>
      <c r="F35" s="1" t="inlineStr">
        <is>
          <t>FLX-2026-0653</t>
        </is>
      </c>
      <c r="G35" s="1" t="n">
        <v>42</v>
      </c>
      <c r="H35" s="1" t="inlineStr">
        <is>
          <t>pz</t>
        </is>
      </c>
      <c r="I35" s="1">
        <f>CERCA.VERT(F33;DoC!A:D;3;FALSO)</f>
        <v/>
      </c>
      <c r="J35" s="1" t="inlineStr">
        <is>
          <t>MAG IMBALLI - scaff. C2</t>
        </is>
      </c>
      <c r="K35" s="1" t="inlineStr">
        <is>
          <t>Faggionato N.</t>
        </is>
      </c>
      <c r="L35" s="1" t="inlineStr">
        <is>
          <t>formula non ricalcolata nell'export</t>
        </is>
      </c>
    </row>
    <row r="36">
      <c r="A36" s="1" t="inlineStr">
        <is>
          <t>13/05/2026</t>
        </is>
      </c>
      <c r="B36" s="1" t="n">
        <v>1321</v>
      </c>
      <c r="C36" s="1" t="inlineStr">
        <is>
          <t>Rational Pack S.r.l. (F0095)</t>
        </is>
      </c>
      <c r="D36" s="1" t="inlineStr">
        <is>
          <t>RP-CT40</t>
        </is>
      </c>
      <c r="E36" s="1" t="inlineStr">
        <is>
          <t>Cartone ondulato americana 400x300x180</t>
        </is>
      </c>
      <c r="F36" s="1" t="inlineStr">
        <is>
          <t>RP-26-3005</t>
        </is>
      </c>
      <c r="G36" s="1" t="n">
        <v>12</v>
      </c>
      <c r="H36" s="1" t="inlineStr">
        <is>
          <t>pz</t>
        </is>
      </c>
      <c r="I36" s="1" t="inlineStr">
        <is>
          <t>DoC-RP-2026-002</t>
        </is>
      </c>
      <c r="J36" s="1" t="inlineStr">
        <is>
          <t>MAG IMBALLI - zona cartone</t>
        </is>
      </c>
      <c r="K36" s="1" t="inlineStr">
        <is>
          <t>Marchi D.</t>
        </is>
      </c>
    </row>
    <row r="37">
      <c r="A37" s="1" t="inlineStr">
        <is>
          <t>13/05/2026</t>
        </is>
      </c>
      <c r="B37" s="1" t="n">
        <v>1321</v>
      </c>
      <c r="C37" s="1" t="inlineStr">
        <is>
          <t>Rational Pack S.r.l. (F0095)</t>
        </is>
      </c>
      <c r="D37" s="1" t="inlineStr">
        <is>
          <t>RP-PAL</t>
        </is>
      </c>
      <c r="E37" s="1" t="inlineStr">
        <is>
          <t>Pallet EPAL nuovi</t>
        </is>
      </c>
      <c r="F37" s="1" t="inlineStr">
        <is>
          <t>RP-26-3006</t>
        </is>
      </c>
      <c r="G37" s="1" t="n">
        <v>120</v>
      </c>
      <c r="H37" s="1" t="inlineStr">
        <is>
          <t>pz</t>
        </is>
      </c>
      <c r="I37" s="1" t="inlineStr">
        <is>
          <t>n.a.</t>
        </is>
      </c>
      <c r="J37" s="1" t="inlineStr">
        <is>
          <t>piazzale</t>
        </is>
      </c>
      <c r="K37" s="1" t="inlineStr">
        <is>
          <t>Marchi D.</t>
        </is>
      </c>
      <c r="L37" s="1" t="inlineStr">
        <is>
          <t>non MOCA - registrati per errore, lasciati per non rinumerare</t>
        </is>
      </c>
    </row>
    <row r="38">
      <c r="A38" s="1" t="inlineStr">
        <is>
          <t>20/05/2026</t>
        </is>
      </c>
      <c r="B38" s="1" t="n">
        <v>1389</v>
      </c>
      <c r="C38" s="1" t="inlineStr">
        <is>
          <t>Flexipack Nordest S.r.l. (F0044)</t>
        </is>
      </c>
      <c r="D38" s="1" t="inlineStr">
        <is>
          <t>FLX-F450</t>
        </is>
      </c>
      <c r="E38" s="1" t="inlineStr">
        <is>
          <t>Film MAP PP/EVOH/PP h450 mm bobina</t>
        </is>
      </c>
      <c r="F38" s="1" t="inlineStr">
        <is>
          <t>FLX-2026-0704</t>
        </is>
      </c>
      <c r="G38" s="1" t="n">
        <v>18</v>
      </c>
      <c r="H38" s="1" t="inlineStr">
        <is>
          <t>bobine</t>
        </is>
      </c>
      <c r="I38" s="1" t="inlineStr">
        <is>
          <t>DoC-FLX-2026-035</t>
        </is>
      </c>
      <c r="J38" s="1" t="inlineStr">
        <is>
          <t>MAG IMBALLI - scaff. B2</t>
        </is>
      </c>
      <c r="K38" s="1" t="inlineStr">
        <is>
          <t>Faggionato N.</t>
        </is>
      </c>
    </row>
    <row r="39">
      <c r="A39" s="1" t="inlineStr">
        <is>
          <t>20/05/2026</t>
        </is>
      </c>
      <c r="B39" s="1" t="n">
        <v>1389</v>
      </c>
      <c r="C39" s="1" t="inlineStr">
        <is>
          <t>Flexipack Nordest S.r.l. (F0044)</t>
        </is>
      </c>
      <c r="D39" s="1" t="inlineStr">
        <is>
          <t>FLX-F300</t>
        </is>
      </c>
      <c r="E39" s="1" t="inlineStr">
        <is>
          <t>Film MAP PP/EVOH/PP h300 mm bobina</t>
        </is>
      </c>
      <c r="F39" s="1" t="inlineStr">
        <is>
          <t>FLX-2026-0705</t>
        </is>
      </c>
      <c r="G39" s="1" t="n">
        <v>12</v>
      </c>
      <c r="H39" s="1" t="inlineStr">
        <is>
          <t>bobine</t>
        </is>
      </c>
      <c r="I39" s="1" t="inlineStr">
        <is>
          <t>DoC-FLX-2026-035</t>
        </is>
      </c>
      <c r="J39" s="1" t="inlineStr">
        <is>
          <t>MAG IMBALLI - scaff. B2</t>
        </is>
      </c>
      <c r="K39" s="1" t="inlineStr">
        <is>
          <t>Faggionato N.</t>
        </is>
      </c>
    </row>
    <row r="40">
      <c r="A40" s="1" t="inlineStr">
        <is>
          <t>27/05/2026</t>
        </is>
      </c>
      <c r="B40" s="1" t="n">
        <v>1450</v>
      </c>
      <c r="C40" s="1" t="inlineStr">
        <is>
          <t>Euroglass Boccacci S.r.l. (F0031)</t>
        </is>
      </c>
      <c r="D40" s="1" t="inlineStr">
        <is>
          <t>EGB-V212</t>
        </is>
      </c>
      <c r="E40" s="1" t="inlineStr">
        <is>
          <t>Vasetto vetro 212 ml bocca TO63</t>
        </is>
      </c>
      <c r="F40" s="1" t="inlineStr">
        <is>
          <t>EG-26-0512</t>
        </is>
      </c>
      <c r="G40" s="1" t="n">
        <v>28.8</v>
      </c>
      <c r="H40" s="1" t="inlineStr">
        <is>
          <t>pz</t>
        </is>
      </c>
      <c r="I40" s="1" t="inlineStr">
        <is>
          <t>DoC-EG-2026-004</t>
        </is>
      </c>
      <c r="J40" s="1" t="inlineStr">
        <is>
          <t>MAG IMBALLI - zona vetro</t>
        </is>
      </c>
      <c r="K40" s="1" t="inlineStr">
        <is>
          <t>Faggionato N.</t>
        </is>
      </c>
    </row>
    <row r="41">
      <c r="A41" s="1" t="inlineStr">
        <is>
          <t>03/06/2026</t>
        </is>
      </c>
      <c r="B41" s="1" t="n">
        <v>1522</v>
      </c>
      <c r="C41" s="1" t="inlineStr">
        <is>
          <t>Flexipack Nordest S.r.l. (F0044)</t>
        </is>
      </c>
      <c r="D41" s="1" t="inlineStr">
        <is>
          <t>FLX-F450</t>
        </is>
      </c>
      <c r="E41" s="1" t="inlineStr">
        <is>
          <t>Film MAP PP/EVOH/PP h450 mm bobina</t>
        </is>
      </c>
      <c r="F41" s="1" t="inlineStr">
        <is>
          <t>FLX-2026-0801</t>
        </is>
      </c>
      <c r="G41" s="1" t="n">
        <v>20</v>
      </c>
      <c r="H41" s="1" t="inlineStr">
        <is>
          <t>bobine</t>
        </is>
      </c>
      <c r="I41" s="1" t="inlineStr">
        <is>
          <t>#N/D</t>
        </is>
      </c>
      <c r="J41" s="1" t="inlineStr">
        <is>
          <t>MAG IMBALLI - scaff. B2</t>
        </is>
      </c>
      <c r="K41" s="1" t="inlineStr">
        <is>
          <t>Marchi D.</t>
        </is>
      </c>
      <c r="L41" s="1" t="inlineStr">
        <is>
          <t>DoC nuova annunciata (cambio spessore EVOH) non ancora ricevuta - NON USARE prima di ok Qualità, nota Marchetti 04/06</t>
        </is>
      </c>
    </row>
    <row r="42">
      <c r="A42" s="1" t="inlineStr">
        <is>
          <t>03/06/2026</t>
        </is>
      </c>
      <c r="B42" s="1" t="n">
        <v>1522</v>
      </c>
      <c r="C42" s="1" t="inlineStr">
        <is>
          <t>Flexipack Nordest S.r.l. (F0044)</t>
        </is>
      </c>
      <c r="D42" s="1" t="inlineStr">
        <is>
          <t>FLX-V90</t>
        </is>
      </c>
      <c r="E42" s="1" t="inlineStr">
        <is>
          <t>Vaschetta PP nera 190x144x38</t>
        </is>
      </c>
      <c r="F42" s="1" t="inlineStr">
        <is>
          <t>FLX-2026-0802</t>
        </is>
      </c>
      <c r="G42" s="1" t="n">
        <v>42</v>
      </c>
      <c r="H42" s="1" t="inlineStr">
        <is>
          <t>pz</t>
        </is>
      </c>
      <c r="I42" s="1" t="inlineStr">
        <is>
          <t>DoC-FLX-2026-035</t>
        </is>
      </c>
      <c r="J42" s="1" t="inlineStr">
        <is>
          <t>MAG IMBALLI - scaff. C1</t>
        </is>
      </c>
      <c r="K42" s="1" t="inlineStr">
        <is>
          <t>Marchi D.</t>
        </is>
      </c>
    </row>
    <row r="43">
      <c r="A43" s="1" t="inlineStr">
        <is>
          <t>10/06/2026</t>
        </is>
      </c>
      <c r="B43" s="1" t="n">
        <v>1601</v>
      </c>
      <c r="C43" s="1" t="inlineStr">
        <is>
          <t>Flexipack Nordest S.r.l. (F0044)</t>
        </is>
      </c>
      <c r="D43" s="1" t="inlineStr">
        <is>
          <t>FLX-S45</t>
        </is>
      </c>
      <c r="E43" s="1" t="inlineStr">
        <is>
          <t>Sacchetto PE croissanteria 6x50</t>
        </is>
      </c>
      <c r="F43" s="1" t="inlineStr">
        <is>
          <t>FLX-2026-0855</t>
        </is>
      </c>
      <c r="G43" s="1" t="n">
        <v>60</v>
      </c>
      <c r="H43" s="1" t="inlineStr">
        <is>
          <t>pz</t>
        </is>
      </c>
      <c r="I43" s="1" t="inlineStr">
        <is>
          <t>DoC-FLX-2026-035</t>
        </is>
      </c>
      <c r="J43" s="1" t="inlineStr">
        <is>
          <t>MAG IMBALLI - scaff. C3</t>
        </is>
      </c>
      <c r="K43" s="1" t="inlineStr">
        <is>
          <t>Faggionato N.</t>
        </is>
      </c>
    </row>
    <row r="44">
      <c r="A44" s="1" t="inlineStr">
        <is>
          <t>10/06/2026</t>
        </is>
      </c>
      <c r="B44" s="1" t="n">
        <v>1601</v>
      </c>
      <c r="C44" s="1" t="inlineStr">
        <is>
          <t>Flexipack Nordest S.r.l. (F0044)</t>
        </is>
      </c>
      <c r="D44" s="1" t="inlineStr">
        <is>
          <t>FLX-S48</t>
        </is>
      </c>
      <c r="E44" s="1" t="inlineStr">
        <is>
          <t>Sacchetto PE croissanteria PL 8x45</t>
        </is>
      </c>
      <c r="F44" s="1" t="inlineStr">
        <is>
          <t>FLX-2026-0856</t>
        </is>
      </c>
      <c r="G44" s="1" t="n">
        <v>70</v>
      </c>
      <c r="H44" s="1" t="inlineStr">
        <is>
          <t>pz</t>
        </is>
      </c>
      <c r="I44" s="1" t="inlineStr">
        <is>
          <t>DoC-FLX-2026-035</t>
        </is>
      </c>
      <c r="J44" s="1" t="inlineStr">
        <is>
          <t>MAG IMBALLI - scaff. C3</t>
        </is>
      </c>
      <c r="K44" s="1" t="inlineStr">
        <is>
          <t>Faggionato N.</t>
        </is>
      </c>
    </row>
    <row r="45">
      <c r="A45" s="1" t="inlineStr">
        <is>
          <t>righe recuperate da registro cartaceo dic-25 (inserite dopo, fuori ordine - Trentin)</t>
        </is>
      </c>
    </row>
    <row r="46">
      <c r="A46" s="1" t="inlineStr">
        <is>
          <t>02/12/2025</t>
        </is>
      </c>
      <c r="B46" s="1" t="n">
        <v>3388</v>
      </c>
      <c r="C46" s="1" t="inlineStr">
        <is>
          <t>Flexipack Nordest S.r.l. (F0044)</t>
        </is>
      </c>
      <c r="D46" s="1" t="inlineStr">
        <is>
          <t>FLX-F450</t>
        </is>
      </c>
      <c r="E46" s="1" t="inlineStr">
        <is>
          <t>Film MAP PP/EVOH/PP h450 mm bobina</t>
        </is>
      </c>
      <c r="F46" s="1" t="inlineStr">
        <is>
          <t>FLX-2025-9800</t>
        </is>
      </c>
      <c r="G46" s="1" t="n">
        <v>18</v>
      </c>
      <c r="H46" s="1" t="inlineStr">
        <is>
          <t>bobine</t>
        </is>
      </c>
      <c r="I46" s="1" t="inlineStr">
        <is>
          <t>DoC-FLX-2025-114</t>
        </is>
      </c>
      <c r="J46" s="1" t="inlineStr">
        <is>
          <t>MAG IMBALLI - scaff. B2</t>
        </is>
      </c>
      <c r="K46" s="1" t="inlineStr">
        <is>
          <t>Faggionato N.</t>
        </is>
      </c>
    </row>
    <row r="47">
      <c r="A47" s="1" t="inlineStr">
        <is>
          <t>02/12/2025</t>
        </is>
      </c>
      <c r="B47" s="1" t="n">
        <v>3388</v>
      </c>
      <c r="C47" s="1" t="inlineStr">
        <is>
          <t>Flexipack Nordest S.r.l. (F0044)</t>
        </is>
      </c>
      <c r="D47" s="1" t="inlineStr">
        <is>
          <t>FLX-V90</t>
        </is>
      </c>
      <c r="E47" s="1" t="inlineStr">
        <is>
          <t>Vaschetta PP nera 190x144x38</t>
        </is>
      </c>
      <c r="F47" s="1" t="inlineStr">
        <is>
          <t>FLX-2025-9801</t>
        </is>
      </c>
      <c r="G47" s="1" t="n">
        <v>42</v>
      </c>
      <c r="H47" s="1" t="inlineStr">
        <is>
          <t>pz</t>
        </is>
      </c>
      <c r="I47" s="1" t="inlineStr">
        <is>
          <t>DoC-FLX-2025-114</t>
        </is>
      </c>
      <c r="J47" s="1" t="inlineStr">
        <is>
          <t>MAG IMBALLI - scaff. C1</t>
        </is>
      </c>
      <c r="K47" s="1" t="inlineStr">
        <is>
          <t>Faggionato N.</t>
        </is>
      </c>
    </row>
    <row r="48">
      <c r="A48" s="1" t="inlineStr">
        <is>
          <t>09/12/2025</t>
        </is>
      </c>
      <c r="B48" s="1" t="n">
        <v>3467</v>
      </c>
      <c r="C48" s="1" t="inlineStr">
        <is>
          <t>Flexipack Nordest S.r.l. (F0044)</t>
        </is>
      </c>
      <c r="D48" s="1" t="inlineStr">
        <is>
          <t>FLX-F300</t>
        </is>
      </c>
      <c r="E48" s="1" t="inlineStr">
        <is>
          <t>Film MAP PP/EVOH/PP h300 mm bobina</t>
        </is>
      </c>
      <c r="F48" s="1" t="inlineStr">
        <is>
          <t>FLX-2025-9844</t>
        </is>
      </c>
      <c r="G48" s="1" t="n">
        <v>10</v>
      </c>
      <c r="H48" s="1" t="inlineStr">
        <is>
          <t>bobine</t>
        </is>
      </c>
      <c r="I48" s="1" t="inlineStr">
        <is>
          <t>DoC-FLX-2025-114</t>
        </is>
      </c>
      <c r="J48" s="1" t="inlineStr">
        <is>
          <t>MAG IMBALLI - scaff. B2</t>
        </is>
      </c>
      <c r="K48" s="1" t="inlineStr">
        <is>
          <t>Marchi D.</t>
        </is>
      </c>
    </row>
    <row r="49">
      <c r="A49" s="1" t="inlineStr">
        <is>
          <t>16/12/2025</t>
        </is>
      </c>
      <c r="B49" s="1" t="n">
        <v>3541</v>
      </c>
      <c r="C49" s="1" t="inlineStr">
        <is>
          <t>Euroglass Boccacci S.r.l. (F0031)</t>
        </is>
      </c>
      <c r="D49" s="1" t="inlineStr">
        <is>
          <t>EGB-V212</t>
        </is>
      </c>
      <c r="E49" s="1" t="inlineStr">
        <is>
          <t>Vasetto vetro 212 ml bocca TO63</t>
        </is>
      </c>
      <c r="F49" s="1" t="inlineStr">
        <is>
          <t>EG-25-1180</t>
        </is>
      </c>
      <c r="G49" s="1" t="n">
        <v>28.8</v>
      </c>
      <c r="H49" s="1" t="inlineStr">
        <is>
          <t>pz</t>
        </is>
      </c>
      <c r="I49" s="1" t="inlineStr">
        <is>
          <t>DoC-EG-2025-021</t>
        </is>
      </c>
      <c r="J49" s="1" t="inlineStr">
        <is>
          <t>MAG IMBALLI - zona vetro</t>
        </is>
      </c>
      <c r="K49" s="1" t="inlineStr">
        <is>
          <t>Faggionato N.</t>
        </is>
      </c>
      <c r="L49" s="1" t="inlineStr">
        <is>
          <t>DoC 2025 - vedi raccoglitore anno precedente</t>
        </is>
      </c>
    </row>
    <row r="50">
      <c r="A50" s="1" t="inlineStr">
        <is>
          <t>16/12/2025</t>
        </is>
      </c>
      <c r="B50" s="1" t="n">
        <v>3541</v>
      </c>
      <c r="C50" s="1" t="inlineStr">
        <is>
          <t>Euroglass Boccacci S.r.l. (F0031)</t>
        </is>
      </c>
      <c r="D50" s="1" t="inlineStr">
        <is>
          <t>EGB-C63</t>
        </is>
      </c>
      <c r="E50" s="1" t="inlineStr">
        <is>
          <t>Capsula twist-off TO63 pasteur.</t>
        </is>
      </c>
      <c r="F50" s="1" t="inlineStr">
        <is>
          <t>EG-25-1181</t>
        </is>
      </c>
      <c r="G50" s="1" t="n">
        <v>30</v>
      </c>
      <c r="H50" s="1" t="inlineStr">
        <is>
          <t>pz</t>
        </is>
      </c>
      <c r="I50" s="1" t="inlineStr">
        <is>
          <t>DoC-EG-2025-021</t>
        </is>
      </c>
      <c r="J50" s="1" t="inlineStr">
        <is>
          <t>MAG IMBALLI - zona vetro</t>
        </is>
      </c>
      <c r="K50" s="1" t="inlineStr">
        <is>
          <t>Faggionato N.</t>
        </is>
      </c>
    </row>
    <row r="51">
      <c r="A51" s="1" t="inlineStr">
        <is>
          <t>23/12/2025</t>
        </is>
      </c>
      <c r="B51" s="1" t="n">
        <v>3610</v>
      </c>
      <c r="C51" s="1" t="inlineStr">
        <is>
          <t>Rational Pack S.r.l. (F0095)</t>
        </is>
      </c>
      <c r="D51" s="1" t="inlineStr">
        <is>
          <t>RP-CT40</t>
        </is>
      </c>
      <c r="E51" s="1" t="inlineStr">
        <is>
          <t>Cartone ondulato americana 400x300x180</t>
        </is>
      </c>
      <c r="F51" s="1" t="inlineStr">
        <is>
          <t>RP-25-8802</t>
        </is>
      </c>
      <c r="G51" s="1" t="n">
        <v>12</v>
      </c>
      <c r="H51" s="1" t="inlineStr">
        <is>
          <t>pz</t>
        </is>
      </c>
      <c r="I51" s="1" t="inlineStr">
        <is>
          <t>DoC-RP-2025-009</t>
        </is>
      </c>
      <c r="J51" s="1" t="inlineStr">
        <is>
          <t>MAG IMBALLI - zona cartone</t>
        </is>
      </c>
      <c r="K51" s="1" t="inlineStr">
        <is>
          <t>Marchi D.</t>
        </is>
      </c>
    </row>
    <row r="52">
      <c r="A52" s="1" t="inlineStr">
        <is>
          <t>23/12/2025</t>
        </is>
      </c>
      <c r="B52" s="1" t="n">
        <v>3610</v>
      </c>
      <c r="C52" s="1" t="inlineStr">
        <is>
          <t>Flexipack Nordest S.r.l. (F0044)</t>
        </is>
      </c>
      <c r="D52" s="1" t="inlineStr">
        <is>
          <t>FLX-S45</t>
        </is>
      </c>
      <c r="E52" s="1" t="inlineStr">
        <is>
          <t>Sacchetto PE croissanteria 6x50</t>
        </is>
      </c>
      <c r="F52" s="1" t="inlineStr">
        <is>
          <t>FLX-2025-9890</t>
        </is>
      </c>
      <c r="G52" s="1" t="n">
        <v>60</v>
      </c>
      <c r="H52" s="1" t="inlineStr">
        <is>
          <t>pz</t>
        </is>
      </c>
      <c r="I52" s="1" t="inlineStr">
        <is>
          <t>DoC-FLX-2025-114</t>
        </is>
      </c>
      <c r="J52" s="1" t="inlineStr">
        <is>
          <t>MAG IMBALLI - scaff. C3</t>
        </is>
      </c>
      <c r="K52" s="1" t="inlineStr">
        <is>
          <t>Marchi D.</t>
        </is>
      </c>
      <c r="L52" s="1" t="inlineStr">
        <is>
          <t>NB: la DoC 2025 il sacchetto lo copriva, è la rev.3 del 2026 che l'ha perso per strada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REGISTRO SCARICO MATERIALI MOCA A PRODUZIONE - MOD-MAG-02 rev.3</t>
        </is>
      </c>
      <c r="B1" s="1" t="inlineStr">
        <is>
          <t>REGISTRO SCARICO MATERIALI MOCA A PRODUZIONE - MOD-MAG-02 rev.3</t>
        </is>
      </c>
      <c r="C1" s="1" t="inlineStr">
        <is>
          <t>REGISTRO SCARICO MATERIALI MOCA A PRODUZIONE - MOD-MAG-02 rev.3</t>
        </is>
      </c>
      <c r="D1" s="1" t="inlineStr">
        <is>
          <t>REGISTRO SCARICO MATERIALI MOCA A PRODUZIONE - MOD-MAG-02 rev.3</t>
        </is>
      </c>
      <c r="E1" s="1" t="inlineStr">
        <is>
          <t>REGISTRO SCARICO MATERIALI MOCA A PRODUZIONE - MOD-MAG-02 rev.3</t>
        </is>
      </c>
      <c r="F1" s="1" t="inlineStr">
        <is>
          <t>REGISTRO SCARICO MATERIALI MOCA A PRODUZIONE - MOD-MAG-02 rev.3</t>
        </is>
      </c>
      <c r="G1" s="1" t="inlineStr">
        <is>
          <t>REGISTRO SCARICO MATERIALI MOCA A PRODUZIONE - MOD-MAG-02 rev.3</t>
        </is>
      </c>
      <c r="H1" s="1" t="inlineStr">
        <is>
          <t>REGISTRO SCARICO MATERIALI MOCA A PRODUZIONE - MOD-MAG-02 rev.3</t>
        </is>
      </c>
    </row>
    <row r="2">
      <c r="A2" s="1" t="inlineStr">
        <is>
          <t>Data</t>
        </is>
      </c>
      <c r="B2" s="1" t="inlineStr">
        <is>
          <t>Cod_articolo</t>
        </is>
      </c>
      <c r="C2" s="1" t="inlineStr">
        <is>
          <t>Lotto_MOCA</t>
        </is>
      </c>
      <c r="D2" s="1" t="inlineStr">
        <is>
          <t>Impiegato_su_lotto_PF</t>
        </is>
      </c>
      <c r="E2" s="1" t="inlineStr">
        <is>
          <t>Prodotto</t>
        </is>
      </c>
      <c r="F2" s="1" t="inlineStr">
        <is>
          <t>Linea</t>
        </is>
      </c>
      <c r="G2" s="1" t="inlineStr">
        <is>
          <t>Quantità</t>
        </is>
      </c>
      <c r="H2" s="1" t="inlineStr">
        <is>
          <t>UM</t>
        </is>
      </c>
      <c r="I2" s="1" t="inlineStr">
        <is>
          <t>Operatore</t>
        </is>
      </c>
      <c r="J2" s="1" t="inlineStr">
        <is>
          <t>Note</t>
        </is>
      </c>
    </row>
    <row r="3">
      <c r="A3" s="1" t="inlineStr">
        <is>
          <t>09/03/2026</t>
        </is>
      </c>
      <c r="B3" s="1" t="inlineStr">
        <is>
          <t>FLX-F450</t>
        </is>
      </c>
      <c r="C3" s="1" t="inlineStr">
        <is>
          <t>FLX-2026-0299</t>
        </is>
      </c>
      <c r="D3" s="1" t="inlineStr">
        <is>
          <t>L26068-L1-T1</t>
        </is>
      </c>
      <c r="E3" s="1" t="inlineStr">
        <is>
          <t>AF-SN-0450</t>
        </is>
      </c>
      <c r="F3" s="1" t="inlineStr">
        <is>
          <t>Linea 1</t>
        </is>
      </c>
      <c r="G3" s="1" t="n">
        <v>3</v>
      </c>
      <c r="H3" s="1" t="inlineStr">
        <is>
          <t>bobine</t>
        </is>
      </c>
      <c r="I3" s="1" t="inlineStr">
        <is>
          <t>Popescu I.</t>
        </is>
      </c>
    </row>
    <row r="4">
      <c r="A4" s="1" t="inlineStr">
        <is>
          <t>09/03/2026</t>
        </is>
      </c>
      <c r="B4" s="1" t="inlineStr">
        <is>
          <t>FLX-F450</t>
        </is>
      </c>
      <c r="C4" s="1" t="inlineStr">
        <is>
          <t>FLX-2026-0299</t>
        </is>
      </c>
      <c r="D4" s="1" t="inlineStr">
        <is>
          <t>L26068-L1-T2</t>
        </is>
      </c>
      <c r="E4" s="1" t="inlineStr">
        <is>
          <t>AF-SN-0450</t>
        </is>
      </c>
      <c r="F4" s="1" t="inlineStr">
        <is>
          <t>Linea 1</t>
        </is>
      </c>
      <c r="G4" s="1" t="n">
        <v>2</v>
      </c>
      <c r="H4" s="1" t="inlineStr">
        <is>
          <t>bobine</t>
        </is>
      </c>
      <c r="I4" s="1" t="inlineStr">
        <is>
          <t>Popescu I.</t>
        </is>
      </c>
    </row>
    <row r="5">
      <c r="A5" s="1" t="inlineStr">
        <is>
          <t>10/03/2026</t>
        </is>
      </c>
      <c r="B5" s="1" t="inlineStr">
        <is>
          <t>FLX-S45</t>
        </is>
      </c>
      <c r="C5" s="1" t="inlineStr">
        <is>
          <t>FLX-2026-0403</t>
        </is>
      </c>
      <c r="D5" s="1" t="inlineStr">
        <is>
          <t>L26069-L2-T1</t>
        </is>
      </c>
      <c r="E5" s="1" t="inlineStr">
        <is>
          <t>AF-CR-0212</t>
        </is>
      </c>
      <c r="F5" s="1" t="inlineStr">
        <is>
          <t>Linea 2</t>
        </is>
      </c>
      <c r="G5" s="1" t="n">
        <v>5.4</v>
      </c>
      <c r="H5" s="1" t="inlineStr">
        <is>
          <t>pz</t>
        </is>
      </c>
      <c r="I5" s="1" t="inlineStr">
        <is>
          <t>Ben Salah A.</t>
        </is>
      </c>
    </row>
    <row r="6">
      <c r="A6" s="1" t="inlineStr">
        <is>
          <t>10/03/2026</t>
        </is>
      </c>
      <c r="B6" s="1" t="inlineStr">
        <is>
          <t>FLX-F300</t>
        </is>
      </c>
      <c r="C6" s="1" t="inlineStr">
        <is>
          <t>FLX-2026-0244</t>
        </is>
      </c>
      <c r="D6" s="1" t="inlineStr">
        <is>
          <t>L26069-L1-T1</t>
        </is>
      </c>
      <c r="E6" s="1" t="inlineStr">
        <is>
          <t>AF-FC-0330</t>
        </is>
      </c>
      <c r="F6" s="1" t="inlineStr">
        <is>
          <t>Linea 1</t>
        </is>
      </c>
      <c r="G6" s="1" t="n">
        <v>2</v>
      </c>
      <c r="H6" s="1" t="inlineStr">
        <is>
          <t>bobine</t>
        </is>
      </c>
      <c r="I6" s="1" t="inlineStr">
        <is>
          <t>Popescu I.</t>
        </is>
      </c>
    </row>
    <row r="7">
      <c r="A7" s="1" t="inlineStr">
        <is>
          <t>12/03/2026</t>
        </is>
      </c>
      <c r="B7" s="1" t="inlineStr">
        <is>
          <t>FLX-V90</t>
        </is>
      </c>
      <c r="C7" s="1" t="inlineStr">
        <is>
          <t>FLX-2026-0350</t>
        </is>
      </c>
      <c r="D7" s="1" t="inlineStr">
        <is>
          <t>L26071-L1-T1</t>
        </is>
      </c>
      <c r="E7" s="1" t="inlineStr">
        <is>
          <t>AF-FC-0330</t>
        </is>
      </c>
      <c r="F7" s="1" t="inlineStr">
        <is>
          <t>Linea 1</t>
        </is>
      </c>
      <c r="G7" s="1" t="n">
        <v>8.199999999999999</v>
      </c>
      <c r="H7" s="1" t="inlineStr">
        <is>
          <t>pz</t>
        </is>
      </c>
      <c r="I7" s="1" t="inlineStr">
        <is>
          <t>Popescu I.</t>
        </is>
      </c>
    </row>
    <row r="8">
      <c r="A8" s="1" t="inlineStr">
        <is>
          <t>16/03/2026</t>
        </is>
      </c>
      <c r="B8" s="1" t="inlineStr">
        <is>
          <t>FLX-F450</t>
        </is>
      </c>
      <c r="C8" s="1" t="inlineStr">
        <is>
          <t>FLX-2026-0351</t>
        </is>
      </c>
      <c r="D8" s="1" t="inlineStr">
        <is>
          <t>L26075-L1-T1</t>
        </is>
      </c>
      <c r="E8" s="1" t="inlineStr">
        <is>
          <t>AF-SN-0450</t>
        </is>
      </c>
      <c r="F8" s="1" t="inlineStr">
        <is>
          <t>Linea 1</t>
        </is>
      </c>
      <c r="G8" s="1" t="n">
        <v>3</v>
      </c>
      <c r="H8" s="1" t="inlineStr">
        <is>
          <t>bobine</t>
        </is>
      </c>
      <c r="I8" s="1" t="inlineStr">
        <is>
          <t>Popescu I.</t>
        </is>
      </c>
    </row>
    <row r="9">
      <c r="A9" s="1" t="inlineStr">
        <is>
          <t>16/03/2026</t>
        </is>
      </c>
      <c r="B9" s="1" t="inlineStr">
        <is>
          <t>FLX-S48</t>
        </is>
      </c>
      <c r="C9" s="1" t="inlineStr">
        <is>
          <t>FLX-2026-0403</t>
        </is>
      </c>
      <c r="D9" s="1" t="inlineStr">
        <is>
          <t>L26075-L2-T2</t>
        </is>
      </c>
      <c r="E9" s="1" t="inlineStr">
        <is>
          <t>AF-CR-0215</t>
        </is>
      </c>
      <c r="F9" s="1" t="inlineStr">
        <is>
          <t>Linea 2</t>
        </is>
      </c>
      <c r="G9" s="1" t="n">
        <v>6.1</v>
      </c>
      <c r="H9" s="1" t="inlineStr">
        <is>
          <t>pz</t>
        </is>
      </c>
      <c r="I9" s="1" t="inlineStr">
        <is>
          <t>Ben Salah A.</t>
        </is>
      </c>
      <c r="J9" s="1" t="inlineStr">
        <is>
          <t>err. articolo: era FLX-S45?? il gestionale aveva il codice sbagliato, corretto a mano da Trentin (vedi nota tra parentesi sul cartaceo)</t>
        </is>
      </c>
    </row>
    <row r="10">
      <c r="A10" s="1" t="inlineStr">
        <is>
          <t>23/03/2026</t>
        </is>
      </c>
      <c r="B10" s="1" t="inlineStr">
        <is>
          <t>FLX-F450</t>
        </is>
      </c>
      <c r="C10" s="1" t="inlineStr">
        <is>
          <t>FLX-2026-0402</t>
        </is>
      </c>
      <c r="D10" s="1" t="inlineStr">
        <is>
          <t>L26082-L1-T1</t>
        </is>
      </c>
      <c r="E10" s="1" t="inlineStr">
        <is>
          <t>AF-SN-0450</t>
        </is>
      </c>
      <c r="F10" s="1" t="inlineStr">
        <is>
          <t>Linea 1</t>
        </is>
      </c>
      <c r="G10" s="1" t="n">
        <v>3</v>
      </c>
      <c r="H10" s="1" t="inlineStr">
        <is>
          <t>bobine</t>
        </is>
      </c>
      <c r="I10" s="1" t="inlineStr">
        <is>
          <t>Popescu I.</t>
        </is>
      </c>
    </row>
    <row r="11">
      <c r="A11" s="1" t="inlineStr">
        <is>
          <t>23/03/2026</t>
        </is>
      </c>
      <c r="B11" s="1" t="inlineStr">
        <is>
          <t>FLX-F450</t>
        </is>
      </c>
      <c r="C11" s="1" t="inlineStr">
        <is>
          <t>FLX-2026-0402</t>
        </is>
      </c>
      <c r="D11" s="1" t="inlineStr">
        <is>
          <t>L26082-L1-T2</t>
        </is>
      </c>
      <c r="E11" s="1" t="inlineStr">
        <is>
          <t>AF-SN-0455</t>
        </is>
      </c>
      <c r="F11" s="1" t="inlineStr">
        <is>
          <t>Linea 1</t>
        </is>
      </c>
      <c r="G11" s="1" t="n">
        <v>2</v>
      </c>
      <c r="H11" s="1" t="inlineStr">
        <is>
          <t>bobine</t>
        </is>
      </c>
      <c r="I11" s="1" t="inlineStr">
        <is>
          <t>Popescu I.</t>
        </is>
      </c>
      <c r="J11" s="1" t="inlineStr">
        <is>
          <t>primo lotto formato promo 3+1</t>
        </is>
      </c>
    </row>
    <row r="12">
      <c r="A12" s="1" t="inlineStr">
        <is>
          <t>30/03/2026</t>
        </is>
      </c>
      <c r="B12" s="1" t="inlineStr">
        <is>
          <t>FLX-S45</t>
        </is>
      </c>
      <c r="C12" s="1" t="inlineStr">
        <is>
          <t>FLX-2026-0403</t>
        </is>
      </c>
      <c r="D12" s="1" t="inlineStr">
        <is>
          <t>L26089-L2-T1</t>
        </is>
      </c>
      <c r="E12" s="1" t="inlineStr">
        <is>
          <t>AF-CR-0212</t>
        </is>
      </c>
      <c r="F12" s="1" t="inlineStr">
        <is>
          <t>Linea 2</t>
        </is>
      </c>
      <c r="G12" s="1" t="n">
        <v>5.8</v>
      </c>
      <c r="H12" s="1" t="inlineStr">
        <is>
          <t>pz</t>
        </is>
      </c>
      <c r="I12" s="1" t="inlineStr">
        <is>
          <t>Ben Salah A.</t>
        </is>
      </c>
    </row>
    <row r="13">
      <c r="A13" s="1" t="inlineStr">
        <is>
          <t>07/04/2026</t>
        </is>
      </c>
      <c r="B13" s="1" t="inlineStr">
        <is>
          <t>FLX-F450</t>
        </is>
      </c>
      <c r="C13" s="1" t="inlineStr">
        <is>
          <t>FLX-2026-0455</t>
        </is>
      </c>
      <c r="D13" s="1" t="inlineStr">
        <is>
          <t>L26097-L1-T1</t>
        </is>
      </c>
      <c r="E13" s="1" t="inlineStr">
        <is>
          <t>AF-SN-0450</t>
        </is>
      </c>
      <c r="F13" s="1" t="inlineStr">
        <is>
          <t>Linea 1</t>
        </is>
      </c>
      <c r="G13" s="1" t="n">
        <v>3</v>
      </c>
      <c r="H13" s="1" t="inlineStr">
        <is>
          <t>bobine</t>
        </is>
      </c>
      <c r="I13" s="1" t="inlineStr">
        <is>
          <t>Popescu I.</t>
        </is>
      </c>
    </row>
    <row r="14">
      <c r="A14" s="1" t="inlineStr">
        <is>
          <t>07/04/2026</t>
        </is>
      </c>
      <c r="B14" s="1" t="inlineStr">
        <is>
          <t>FLX-V90</t>
        </is>
      </c>
      <c r="C14" s="1" t="inlineStr">
        <is>
          <t>FLX-2026-0457</t>
        </is>
      </c>
      <c r="D14" s="1" t="inlineStr">
        <is>
          <t>L26097-L1-T2</t>
        </is>
      </c>
      <c r="E14" s="1" t="inlineStr">
        <is>
          <t>AF-FC-0330</t>
        </is>
      </c>
      <c r="F14" s="1" t="inlineStr">
        <is>
          <t>Linea 1</t>
        </is>
      </c>
      <c r="G14" s="1" t="n">
        <v>8.4</v>
      </c>
      <c r="H14" s="1" t="inlineStr">
        <is>
          <t>pz</t>
        </is>
      </c>
      <c r="I14" s="1" t="inlineStr">
        <is>
          <t>Popescu I.</t>
        </is>
      </c>
    </row>
    <row r="15">
      <c r="A15" s="1" t="inlineStr">
        <is>
          <t>09/04/2026</t>
        </is>
      </c>
      <c r="B15" s="1" t="inlineStr">
        <is>
          <t>FLX-S48</t>
        </is>
      </c>
      <c r="C15" s="1" t="inlineStr">
        <is>
          <t>FLX-2026-0501</t>
        </is>
      </c>
      <c r="D15" s="1" t="inlineStr">
        <is>
          <t>L26099-L2-T1</t>
        </is>
      </c>
      <c r="E15" s="1" t="inlineStr">
        <is>
          <t>AF-CR-0215</t>
        </is>
      </c>
      <c r="F15" s="1" t="inlineStr">
        <is>
          <t>Linea 2</t>
        </is>
      </c>
      <c r="G15" s="1" t="n">
        <v>7.2</v>
      </c>
      <c r="H15" s="1" t="inlineStr">
        <is>
          <t>pz</t>
        </is>
      </c>
      <c r="I15" s="1" t="inlineStr">
        <is>
          <t>Ben Salah A.</t>
        </is>
      </c>
      <c r="J15" s="1" t="inlineStr">
        <is>
          <t>scarico registrato in ritardo il lunedì</t>
        </is>
      </c>
    </row>
    <row r="16">
      <c r="A16" s="1" t="inlineStr">
        <is>
          <t>13/04/2026</t>
        </is>
      </c>
      <c r="B16" s="1" t="inlineStr">
        <is>
          <t>FLX-F450</t>
        </is>
      </c>
      <c r="C16" s="1" t="inlineStr">
        <is>
          <t>FLX-2026-0455</t>
        </is>
      </c>
      <c r="D16" s="1" t="inlineStr">
        <is>
          <t>L26103-L1-T1</t>
        </is>
      </c>
      <c r="E16" s="1" t="inlineStr">
        <is>
          <t>AF-SN-0450</t>
        </is>
      </c>
      <c r="F16" s="1" t="inlineStr">
        <is>
          <t>Linea 1</t>
        </is>
      </c>
      <c r="G16" s="1" t="n">
        <v>4</v>
      </c>
      <c r="H16" s="1" t="inlineStr">
        <is>
          <t>bobine</t>
        </is>
      </c>
      <c r="I16" s="1" t="inlineStr">
        <is>
          <t>Popescu I.</t>
        </is>
      </c>
      <c r="J16" s="1" t="inlineStr">
        <is>
          <t>volumi promo</t>
        </is>
      </c>
    </row>
    <row r="17">
      <c r="A17" s="1" t="inlineStr">
        <is>
          <t>13/04/2026</t>
        </is>
      </c>
      <c r="B17" s="1" t="inlineStr">
        <is>
          <t>FLX-F450</t>
        </is>
      </c>
      <c r="C17" s="1" t="inlineStr">
        <is>
          <t>FLX-2026-0455</t>
        </is>
      </c>
      <c r="D17" s="1" t="inlineStr">
        <is>
          <t>L26103-L1-T2</t>
        </is>
      </c>
      <c r="E17" s="1" t="inlineStr">
        <is>
          <t>AF-SN-0455</t>
        </is>
      </c>
      <c r="F17" s="1" t="inlineStr">
        <is>
          <t>Linea 1</t>
        </is>
      </c>
      <c r="G17" s="1" t="n">
        <v>3</v>
      </c>
      <c r="H17" s="1" t="inlineStr">
        <is>
          <t>bobine</t>
        </is>
      </c>
      <c r="I17" s="1" t="inlineStr">
        <is>
          <t>Popescu I.</t>
        </is>
      </c>
    </row>
    <row r="18">
      <c r="A18" s="1" t="inlineStr">
        <is>
          <t>14/04/2026</t>
        </is>
      </c>
      <c r="B18" s="1" t="inlineStr">
        <is>
          <t>FLX-S45</t>
        </is>
      </c>
      <c r="C18" s="1" t="inlineStr">
        <is>
          <t>FLX-2026-0501</t>
        </is>
      </c>
      <c r="D18" s="1" t="inlineStr">
        <is>
          <t>L26104-L2-T1</t>
        </is>
      </c>
      <c r="E18" s="1" t="inlineStr">
        <is>
          <t>AF-CR-0212</t>
        </is>
      </c>
      <c r="F18" s="1" t="inlineStr">
        <is>
          <t>Linea 2</t>
        </is>
      </c>
      <c r="G18" s="1" t="n">
        <v>6</v>
      </c>
      <c r="H18" s="1" t="inlineStr">
        <is>
          <t>pz</t>
        </is>
      </c>
      <c r="I18" s="1" t="inlineStr">
        <is>
          <t>Ben Salah A.</t>
        </is>
      </c>
    </row>
    <row r="19">
      <c r="A19" s="1" t="inlineStr">
        <is>
          <t>14/04/2026</t>
        </is>
      </c>
      <c r="B19" s="1" t="inlineStr">
        <is>
          <t>FLX-S48</t>
        </is>
      </c>
      <c r="C19" s="1" t="inlineStr">
        <is>
          <t>FLX-2026-0501</t>
        </is>
      </c>
      <c r="D19" s="1" t="inlineStr">
        <is>
          <t>L26104-L2-T2</t>
        </is>
      </c>
      <c r="E19" s="1" t="inlineStr">
        <is>
          <t>AF-CR-0215</t>
        </is>
      </c>
      <c r="F19" s="1" t="inlineStr">
        <is>
          <t>Linea 2</t>
        </is>
      </c>
      <c r="G19" s="1" t="n">
        <v>7.5</v>
      </c>
      <c r="H19" s="1" t="inlineStr">
        <is>
          <t>pz</t>
        </is>
      </c>
      <c r="I19" s="1" t="inlineStr">
        <is>
          <t>Ben Salah A.</t>
        </is>
      </c>
    </row>
    <row r="20">
      <c r="A20" s="1" t="inlineStr">
        <is>
          <t>20/04/2026</t>
        </is>
      </c>
      <c r="B20" s="1" t="inlineStr">
        <is>
          <t>FLX-F450</t>
        </is>
      </c>
      <c r="C20" s="1" t="inlineStr">
        <is>
          <t>FLX-2026-0544</t>
        </is>
      </c>
      <c r="D20" s="1" t="inlineStr">
        <is>
          <t>L26110-L1-T1</t>
        </is>
      </c>
      <c r="E20" s="1" t="inlineStr">
        <is>
          <t>AF-SN-0450</t>
        </is>
      </c>
      <c r="F20" s="1" t="inlineStr">
        <is>
          <t>Linea 1</t>
        </is>
      </c>
      <c r="G20" s="1" t="n">
        <v>4</v>
      </c>
      <c r="H20" s="1" t="inlineStr">
        <is>
          <t>bobine</t>
        </is>
      </c>
      <c r="I20" s="1" t="inlineStr">
        <is>
          <t>Popescu I.</t>
        </is>
      </c>
    </row>
    <row r="21">
      <c r="A21" s="1" t="inlineStr">
        <is>
          <t>20/04/2026</t>
        </is>
      </c>
      <c r="B21" s="1" t="inlineStr">
        <is>
          <t>FLX-F450</t>
        </is>
      </c>
      <c r="C21" s="1" t="inlineStr">
        <is>
          <t>FLX-2026-0544</t>
        </is>
      </c>
      <c r="D21" s="1" t="inlineStr">
        <is>
          <t>L26110-L1-T2</t>
        </is>
      </c>
      <c r="E21" s="1" t="inlineStr">
        <is>
          <t>AF-SN-0455</t>
        </is>
      </c>
      <c r="F21" s="1" t="inlineStr">
        <is>
          <t>Linea 1</t>
        </is>
      </c>
      <c r="G21" s="1" t="n">
        <v>3</v>
      </c>
      <c r="H21" s="1" t="inlineStr">
        <is>
          <t>bobine</t>
        </is>
      </c>
      <c r="I21" s="1" t="inlineStr">
        <is>
          <t>Popescu I.</t>
        </is>
      </c>
    </row>
    <row r="22">
      <c r="A22" s="1" t="inlineStr">
        <is>
          <t>21/04/2026</t>
        </is>
      </c>
      <c r="B22" s="1" t="inlineStr">
        <is>
          <t>FLX-V90</t>
        </is>
      </c>
      <c r="C22" s="1" t="inlineStr">
        <is>
          <t>FLX-2026-0457</t>
        </is>
      </c>
      <c r="D22" s="1" t="inlineStr">
        <is>
          <t>L26111-L1-T1</t>
        </is>
      </c>
      <c r="E22" s="1" t="inlineStr">
        <is>
          <t>AF-FC-0330</t>
        </is>
      </c>
      <c r="F22" s="1" t="inlineStr">
        <is>
          <t>Linea 1</t>
        </is>
      </c>
      <c r="G22" s="1" t="n">
        <v>8.1</v>
      </c>
      <c r="H22" s="1" t="inlineStr">
        <is>
          <t>pz</t>
        </is>
      </c>
      <c r="I22" s="1" t="inlineStr">
        <is>
          <t>Popescu I.</t>
        </is>
      </c>
    </row>
    <row r="23">
      <c r="A23" s="1" t="inlineStr">
        <is>
          <t>21/04/2026</t>
        </is>
      </c>
      <c r="B23" s="1" t="inlineStr">
        <is>
          <t>FLX-S48</t>
        </is>
      </c>
      <c r="C23" s="1" t="inlineStr">
        <is>
          <t>FLX-2026-0545</t>
        </is>
      </c>
      <c r="D23" s="1" t="inlineStr">
        <is>
          <t>L26111-L2-T2</t>
        </is>
      </c>
      <c r="E23" s="1" t="inlineStr">
        <is>
          <t>AF-CR-0215</t>
        </is>
      </c>
      <c r="F23" s="1" t="inlineStr">
        <is>
          <t>Linea 2</t>
        </is>
      </c>
      <c r="G23" s="1" t="n">
        <v>7.4</v>
      </c>
      <c r="H23" s="1" t="inlineStr">
        <is>
          <t>pz</t>
        </is>
      </c>
      <c r="I23" s="1" t="inlineStr">
        <is>
          <t>Ben Salah A.</t>
        </is>
      </c>
    </row>
    <row r="24">
      <c r="A24" s="1" t="inlineStr">
        <is>
          <t>27/04/2026</t>
        </is>
      </c>
      <c r="B24" s="1" t="inlineStr">
        <is>
          <t>FLX-F450</t>
        </is>
      </c>
      <c r="C24" s="1" t="inlineStr">
        <is>
          <t>FLX-2026-0544</t>
        </is>
      </c>
      <c r="D24" s="1" t="inlineStr">
        <is>
          <t>L26117-L1-T1</t>
        </is>
      </c>
      <c r="E24" s="1" t="inlineStr">
        <is>
          <t>AF-SN-0450</t>
        </is>
      </c>
      <c r="F24" s="1" t="inlineStr">
        <is>
          <t>Linea 1</t>
        </is>
      </c>
      <c r="G24" s="1" t="n">
        <v>3</v>
      </c>
      <c r="H24" s="1" t="inlineStr">
        <is>
          <t>bobine</t>
        </is>
      </c>
      <c r="I24" s="1" t="inlineStr">
        <is>
          <t>Popescu I.</t>
        </is>
      </c>
    </row>
    <row r="25">
      <c r="A25" s="1" t="inlineStr">
        <is>
          <t>27/04/2026</t>
        </is>
      </c>
      <c r="B25" s="1" t="inlineStr">
        <is>
          <t>FLX-S45</t>
        </is>
      </c>
      <c r="C25" s="1" t="inlineStr">
        <is>
          <t>FLX-2026-0501</t>
        </is>
      </c>
      <c r="D25" s="1" t="inlineStr">
        <is>
          <t>L26117-L2-T1</t>
        </is>
      </c>
      <c r="E25" s="1" t="inlineStr">
        <is>
          <t>AF-CR-0212</t>
        </is>
      </c>
      <c r="F25" s="1" t="inlineStr">
        <is>
          <t>Linea 2</t>
        </is>
      </c>
      <c r="G25" s="1" t="n">
        <v>5.6</v>
      </c>
      <c r="H25" s="1" t="inlineStr">
        <is>
          <t>pz</t>
        </is>
      </c>
      <c r="I25" s="1" t="inlineStr">
        <is>
          <t>Ben Salah A.</t>
        </is>
      </c>
    </row>
    <row r="26">
      <c r="A26" s="1" t="inlineStr">
        <is>
          <t>28/04/2026</t>
        </is>
      </c>
      <c r="B26" s="1" t="inlineStr">
        <is>
          <t>FLX-F450</t>
        </is>
      </c>
      <c r="C26" s="1" t="inlineStr">
        <is>
          <t>FLX-2026-0602</t>
        </is>
      </c>
      <c r="D26" s="1" t="inlineStr">
        <is>
          <t>L26118-L1-T2</t>
        </is>
      </c>
      <c r="E26" s="1" t="inlineStr">
        <is>
          <t>AF-SN-0455</t>
        </is>
      </c>
      <c r="F26" s="1" t="inlineStr">
        <is>
          <t>Linea 1</t>
        </is>
      </c>
      <c r="G26" s="1" t="n">
        <v>3</v>
      </c>
      <c r="H26" s="1" t="inlineStr">
        <is>
          <t>bobine</t>
        </is>
      </c>
      <c r="I26" s="1" t="inlineStr">
        <is>
          <t>Popescu I.</t>
        </is>
      </c>
    </row>
    <row r="27">
      <c r="A27" s="1" t="inlineStr">
        <is>
          <t>04/05/2026</t>
        </is>
      </c>
      <c r="B27" s="1" t="inlineStr">
        <is>
          <t>FLX-F450</t>
        </is>
      </c>
      <c r="C27" s="1" t="inlineStr">
        <is>
          <t>FLX-2026-0602</t>
        </is>
      </c>
      <c r="D27" s="1" t="inlineStr">
        <is>
          <t>L26124-L1-T1</t>
        </is>
      </c>
      <c r="E27" s="1" t="inlineStr">
        <is>
          <t>AF-SN-0450</t>
        </is>
      </c>
      <c r="F27" s="1" t="inlineStr">
        <is>
          <t>Linea 1</t>
        </is>
      </c>
      <c r="G27" s="1" t="n">
        <v>4</v>
      </c>
      <c r="H27" s="1" t="inlineStr">
        <is>
          <t>bobine</t>
        </is>
      </c>
      <c r="I27" s="1" t="inlineStr">
        <is>
          <t>Popescu I.</t>
        </is>
      </c>
      <c r="J27" s="1" t="inlineStr">
        <is>
          <t>settimana pre-promo, ritmi alti</t>
        </is>
      </c>
    </row>
    <row r="28">
      <c r="A28" s="1" t="inlineStr">
        <is>
          <t>04/05/2026</t>
        </is>
      </c>
      <c r="B28" s="1" t="inlineStr">
        <is>
          <t>FLX-F450</t>
        </is>
      </c>
      <c r="C28" s="1" t="inlineStr">
        <is>
          <t>FLX-2026-0602</t>
        </is>
      </c>
      <c r="D28" s="1" t="inlineStr">
        <is>
          <t>L26124-L1-T2</t>
        </is>
      </c>
      <c r="E28" s="1" t="inlineStr">
        <is>
          <t>AF-SN-0450</t>
        </is>
      </c>
      <c r="F28" s="1" t="inlineStr">
        <is>
          <t>Linea 1</t>
        </is>
      </c>
      <c r="G28" s="1" t="n">
        <v>3</v>
      </c>
      <c r="H28" s="1" t="inlineStr">
        <is>
          <t>bobine</t>
        </is>
      </c>
      <c r="I28" s="1" t="inlineStr">
        <is>
          <t>Popescu I.</t>
        </is>
      </c>
    </row>
    <row r="29">
      <c r="A29" s="1" t="inlineStr">
        <is>
          <t>04/05/2026</t>
        </is>
      </c>
      <c r="B29" s="1" t="inlineStr">
        <is>
          <t>FLX-S48</t>
        </is>
      </c>
      <c r="C29" s="1" t="inlineStr">
        <is>
          <t>FLX-2026-0545</t>
        </is>
      </c>
      <c r="D29" s="1" t="inlineStr">
        <is>
          <t>L26124-L2-T1</t>
        </is>
      </c>
      <c r="E29" s="1" t="inlineStr">
        <is>
          <t>AF-CR-0215</t>
        </is>
      </c>
      <c r="F29" s="1" t="inlineStr">
        <is>
          <t>Linea 2</t>
        </is>
      </c>
      <c r="G29" s="1" t="n">
        <v>7.6</v>
      </c>
      <c r="H29" s="1" t="inlineStr">
        <is>
          <t>pz</t>
        </is>
      </c>
      <c r="I29" s="1" t="inlineStr">
        <is>
          <t>Ben Salah A.</t>
        </is>
      </c>
    </row>
    <row r="30">
      <c r="A30" s="1" t="inlineStr">
        <is>
          <t>05/05/2026</t>
        </is>
      </c>
      <c r="B30" s="1" t="inlineStr">
        <is>
          <t>FLX-V90</t>
        </is>
      </c>
      <c r="C30" s="1" t="inlineStr">
        <is>
          <t>FLX-2026-0604</t>
        </is>
      </c>
      <c r="D30" s="1" t="inlineStr">
        <is>
          <t>L26125-L1-T1</t>
        </is>
      </c>
      <c r="E30" s="1" t="inlineStr">
        <is>
          <t>AF-FC-0330</t>
        </is>
      </c>
      <c r="F30" s="1" t="inlineStr">
        <is>
          <t>Linea 1</t>
        </is>
      </c>
      <c r="G30" s="1" t="n">
        <v>8.300000000000001</v>
      </c>
      <c r="H30" s="1" t="inlineStr">
        <is>
          <t>pz</t>
        </is>
      </c>
      <c r="I30" s="1" t="inlineStr">
        <is>
          <t>Popescu I.</t>
        </is>
      </c>
    </row>
    <row r="31">
      <c r="A31" s="1" t="inlineStr">
        <is>
          <t>08/05/2026</t>
        </is>
      </c>
      <c r="B31" s="1" t="inlineStr">
        <is>
          <t>FLX-F450</t>
        </is>
      </c>
      <c r="C31" s="1" t="inlineStr">
        <is>
          <t>FLX-2026-0651</t>
        </is>
      </c>
      <c r="D31" s="1" t="inlineStr">
        <is>
          <t>L26128-L1-T1</t>
        </is>
      </c>
      <c r="E31" s="1" t="inlineStr">
        <is>
          <t>AF-SN-0450</t>
        </is>
      </c>
      <c r="F31" s="1" t="inlineStr">
        <is>
          <t>Linea 1</t>
        </is>
      </c>
      <c r="G31" s="1" t="n">
        <v>4</v>
      </c>
      <c r="H31" s="1" t="inlineStr">
        <is>
          <t>bobine</t>
        </is>
      </c>
      <c r="I31" s="1" t="inlineStr">
        <is>
          <t>Popescu I.</t>
        </is>
      </c>
    </row>
    <row r="32">
      <c r="A32" s="1" t="inlineStr">
        <is>
          <t>08/05/2026</t>
        </is>
      </c>
      <c r="B32" s="1" t="inlineStr">
        <is>
          <t>FLX-F450</t>
        </is>
      </c>
      <c r="C32" s="1" t="inlineStr">
        <is>
          <t>FLX-2026-0651</t>
        </is>
      </c>
      <c r="D32" s="1" t="inlineStr">
        <is>
          <t>L26128-L1-T2</t>
        </is>
      </c>
      <c r="E32" s="1" t="inlineStr">
        <is>
          <t>AF-SN-0455</t>
        </is>
      </c>
      <c r="F32" s="1" t="inlineStr">
        <is>
          <t>Linea 1</t>
        </is>
      </c>
      <c r="G32" s="1" t="n">
        <v>3</v>
      </c>
      <c r="H32" s="1" t="inlineStr">
        <is>
          <t>bobine</t>
        </is>
      </c>
      <c r="I32" s="1" t="inlineStr">
        <is>
          <t>Popescu I.</t>
        </is>
      </c>
    </row>
    <row r="33">
      <c r="A33" s="1" t="inlineStr">
        <is>
          <t>08/05/2026</t>
        </is>
      </c>
      <c r="B33" s="1" t="inlineStr">
        <is>
          <t>FLX-S45</t>
        </is>
      </c>
      <c r="C33" s="1" t="inlineStr">
        <is>
          <t>FLX-2026-0652</t>
        </is>
      </c>
      <c r="D33" s="1" t="inlineStr">
        <is>
          <t>L26128-L2-T1</t>
        </is>
      </c>
      <c r="E33" s="1" t="inlineStr">
        <is>
          <t>AF-CR-0212</t>
        </is>
      </c>
      <c r="F33" s="1" t="inlineStr">
        <is>
          <t>Linea 2</t>
        </is>
      </c>
      <c r="G33" s="1" t="n">
        <v>6.2</v>
      </c>
      <c r="H33" s="1" t="inlineStr">
        <is>
          <t>pz</t>
        </is>
      </c>
      <c r="I33" s="1" t="inlineStr">
        <is>
          <t>Ben Salah A.</t>
        </is>
      </c>
      <c r="J33" s="1" t="inlineStr">
        <is>
          <t>nota Dal Maso su valvola azoto PKM-450 che perde - vedi MOD-PR-04, si continua</t>
        </is>
      </c>
    </row>
    <row r="34">
      <c r="A34" s="1" t="inlineStr">
        <is>
          <t>10/05/2026</t>
        </is>
      </c>
      <c r="B34" s="1" t="inlineStr">
        <is>
          <t>FLX-F450</t>
        </is>
      </c>
      <c r="C34" s="1" t="inlineStr">
        <is>
          <t>FLX-2026-0651</t>
        </is>
      </c>
      <c r="D34" s="1" t="inlineStr">
        <is>
          <t>L26130-L1-T1</t>
        </is>
      </c>
      <c r="E34" s="1" t="inlineStr">
        <is>
          <t>AF-SN-0450</t>
        </is>
      </c>
      <c r="F34" s="1" t="inlineStr">
        <is>
          <t>Linea 1</t>
        </is>
      </c>
      <c r="G34" s="1" t="n">
        <v>3</v>
      </c>
      <c r="H34" s="1" t="inlineStr">
        <is>
          <t>bobine</t>
        </is>
      </c>
      <c r="I34" s="1" t="inlineStr">
        <is>
          <t>Popescu I.</t>
        </is>
      </c>
    </row>
    <row r="35">
      <c r="A35" s="1" t="inlineStr">
        <is>
          <t>10/05/2026</t>
        </is>
      </c>
      <c r="B35" s="1" t="inlineStr">
        <is>
          <t>FLX-F450</t>
        </is>
      </c>
      <c r="C35" s="1" t="inlineStr">
        <is>
          <t>FLX-2026-0651</t>
        </is>
      </c>
      <c r="D35" s="1" t="inlineStr">
        <is>
          <t>L26130-L1-T2</t>
        </is>
      </c>
      <c r="E35" s="1" t="inlineStr">
        <is>
          <t>AF-SN-0450</t>
        </is>
      </c>
      <c r="F35" s="1" t="inlineStr">
        <is>
          <t>Linea 1</t>
        </is>
      </c>
      <c r="G35" s="1" t="n">
        <v>3</v>
      </c>
      <c r="H35" s="1" t="inlineStr">
        <is>
          <t>bobine</t>
        </is>
      </c>
      <c r="I35" s="1" t="inlineStr">
        <is>
          <t>Popescu I.</t>
        </is>
      </c>
      <c r="J35" s="1" t="inlineStr">
        <is>
          <t>turno 2 - fermo PKM-450 dalle 15:05 x guasto valvola azoto, ca. 3h40. Bobina in macchina rimasta montata durante intervento officina</t>
        </is>
      </c>
    </row>
    <row r="36">
      <c r="A36" s="1" t="inlineStr">
        <is>
          <t>11/05/2026</t>
        </is>
      </c>
      <c r="B36" s="1" t="inlineStr">
        <is>
          <t>FLX-S48</t>
        </is>
      </c>
      <c r="C36" s="1" t="inlineStr">
        <is>
          <t>FLX-2026-0652</t>
        </is>
      </c>
      <c r="D36" s="1" t="inlineStr">
        <is>
          <t>L26131-L1-T2</t>
        </is>
      </c>
      <c r="E36" s="1" t="inlineStr">
        <is>
          <t>AF-CR-0215</t>
        </is>
      </c>
      <c r="F36" s="1" t="inlineStr">
        <is>
          <t>Linea 2</t>
        </is>
      </c>
      <c r="G36" s="1" t="n">
        <v>7.1</v>
      </c>
      <c r="H36" s="1" t="inlineStr">
        <is>
          <t>pz</t>
        </is>
      </c>
      <c r="I36" s="1" t="inlineStr">
        <is>
          <t>Ben Salah A.</t>
        </is>
      </c>
      <c r="J36" s="1" t="inlineStr">
        <is>
          <t>terza domenica di fila lavorata (scarico registrato lun 11/05)</t>
        </is>
      </c>
    </row>
    <row r="37">
      <c r="A37" s="1" t="inlineStr">
        <is>
          <t>11/05/2026</t>
        </is>
      </c>
      <c r="B37" s="1" t="inlineStr">
        <is>
          <t>FLX-V90</t>
        </is>
      </c>
      <c r="C37" s="1" t="inlineStr">
        <is>
          <t>FLX-2026-0653</t>
        </is>
      </c>
      <c r="D37" s="1" t="inlineStr">
        <is>
          <t>L26131-L1-T2;AF-CR-0215;Linea 3;9.800;pz;Guerra R.;riga sballata dall'export, i valori sono giusti</t>
        </is>
      </c>
    </row>
    <row r="38">
      <c r="A38" s="1" t="inlineStr">
        <is>
          <t>12/05/2026</t>
        </is>
      </c>
      <c r="B38" s="1" t="inlineStr">
        <is>
          <t>FLX-F450</t>
        </is>
      </c>
      <c r="C38" s="1" t="inlineStr">
        <is>
          <t>FLX-2026-0651</t>
        </is>
      </c>
      <c r="D38" s="1" t="inlineStr">
        <is>
          <t>L26132-L1-T1</t>
        </is>
      </c>
      <c r="E38" s="1" t="inlineStr">
        <is>
          <t>AF-SN-0450</t>
        </is>
      </c>
      <c r="F38" s="1" t="inlineStr">
        <is>
          <t>Linea 1</t>
        </is>
      </c>
      <c r="G38" s="1" t="n">
        <v>3</v>
      </c>
      <c r="H38" s="1" t="inlineStr">
        <is>
          <t>bobine</t>
        </is>
      </c>
      <c r="I38" s="1" t="inlineStr">
        <is>
          <t>Popescu I.</t>
        </is>
      </c>
    </row>
    <row r="39">
      <c r="A39" s="1" t="inlineStr">
        <is>
          <t>12/05/2026</t>
        </is>
      </c>
      <c r="B39" s="1" t="inlineStr">
        <is>
          <t>FLX-F300</t>
        </is>
      </c>
      <c r="C39" s="1" t="inlineStr">
        <is>
          <t>FLX-2026-0603</t>
        </is>
      </c>
      <c r="D39" s="1" t="inlineStr">
        <is>
          <t>L26132-L1-T2</t>
        </is>
      </c>
      <c r="E39" s="1" t="inlineStr">
        <is>
          <t>AF-FC-0330</t>
        </is>
      </c>
      <c r="F39" s="1" t="inlineStr">
        <is>
          <t>Linea 1</t>
        </is>
      </c>
      <c r="G39" s="1" t="n">
        <v>2</v>
      </c>
      <c r="H39" s="1" t="inlineStr">
        <is>
          <t>bobine</t>
        </is>
      </c>
      <c r="I39" s="1" t="inlineStr">
        <is>
          <t>Popescu I.</t>
        </is>
      </c>
    </row>
    <row r="40">
      <c r="A40" s="1" t="inlineStr">
        <is>
          <t>18/05/2026</t>
        </is>
      </c>
      <c r="B40" s="1" t="inlineStr">
        <is>
          <t>FLX-F450</t>
        </is>
      </c>
      <c r="C40" s="1" t="inlineStr">
        <is>
          <t>FLX-2026-0704</t>
        </is>
      </c>
      <c r="D40" s="1" t="inlineStr">
        <is>
          <t>L26138-L1-T1</t>
        </is>
      </c>
      <c r="E40" s="1" t="inlineStr">
        <is>
          <t>AF-SN-0450</t>
        </is>
      </c>
      <c r="F40" s="1" t="inlineStr">
        <is>
          <t>Linea 1</t>
        </is>
      </c>
      <c r="G40" s="1" t="n">
        <v>3</v>
      </c>
      <c r="H40" s="1" t="inlineStr">
        <is>
          <t>bobine</t>
        </is>
      </c>
      <c r="I40" s="1" t="inlineStr">
        <is>
          <t>Popescu I.</t>
        </is>
      </c>
    </row>
    <row r="41">
      <c r="A41" s="1" t="inlineStr">
        <is>
          <t>18/05/2026</t>
        </is>
      </c>
      <c r="B41" s="1" t="inlineStr">
        <is>
          <t>FLX-S45</t>
        </is>
      </c>
      <c r="C41" s="1" t="inlineStr">
        <is>
          <t>FLX-2026-0652</t>
        </is>
      </c>
      <c r="D41" s="1" t="inlineStr">
        <is>
          <t>L26138-L2-T1</t>
        </is>
      </c>
      <c r="E41" s="1" t="inlineStr">
        <is>
          <t>AF-CR-0212</t>
        </is>
      </c>
      <c r="F41" s="1" t="inlineStr">
        <is>
          <t>Linea 2</t>
        </is>
      </c>
      <c r="G41" s="1" t="n">
        <v>5.9</v>
      </c>
      <c r="H41" s="1" t="inlineStr">
        <is>
          <t>pz</t>
        </is>
      </c>
      <c r="I41" s="1" t="inlineStr">
        <is>
          <t>Ben Salah A.</t>
        </is>
      </c>
    </row>
    <row r="42">
      <c r="A42" s="1" t="inlineStr">
        <is>
          <t>19/05/2026</t>
        </is>
      </c>
      <c r="B42" s="1" t="inlineStr">
        <is>
          <t>FLX-F450</t>
        </is>
      </c>
      <c r="C42" s="1" t="inlineStr">
        <is>
          <t>FLX-2026-0704</t>
        </is>
      </c>
      <c r="D42" s="1" t="inlineStr">
        <is>
          <t>L26139-L1-T2</t>
        </is>
      </c>
      <c r="E42" s="1" t="inlineStr">
        <is>
          <t>AF-SN-0455</t>
        </is>
      </c>
      <c r="F42" s="1" t="inlineStr">
        <is>
          <t>Linea 1</t>
        </is>
      </c>
      <c r="G42" s="1" t="n">
        <v>2</v>
      </c>
      <c r="H42" s="1" t="inlineStr">
        <is>
          <t>bobine</t>
        </is>
      </c>
      <c r="I42" s="1" t="inlineStr">
        <is>
          <t>Popescu I.</t>
        </is>
      </c>
    </row>
    <row r="43">
      <c r="A43" s="1" t="inlineStr">
        <is>
          <t>25/05/2026</t>
        </is>
      </c>
      <c r="B43" s="1" t="inlineStr">
        <is>
          <t>FLX-F450</t>
        </is>
      </c>
      <c r="C43" s="1" t="inlineStr">
        <is>
          <t>FLX-2026-0704</t>
        </is>
      </c>
      <c r="D43" s="1" t="inlineStr">
        <is>
          <t>L26145-L1-T1</t>
        </is>
      </c>
      <c r="E43" s="1" t="inlineStr">
        <is>
          <t>AF-SN-0450</t>
        </is>
      </c>
      <c r="F43" s="1" t="inlineStr">
        <is>
          <t>Linea 1</t>
        </is>
      </c>
      <c r="G43" s="1" t="n">
        <v>3</v>
      </c>
      <c r="H43" s="1" t="inlineStr">
        <is>
          <t>bobine</t>
        </is>
      </c>
      <c r="I43" s="1" t="inlineStr">
        <is>
          <t>Popescu I.</t>
        </is>
      </c>
    </row>
    <row r="44">
      <c r="A44" s="1" t="inlineStr">
        <is>
          <t>25/05/2026</t>
        </is>
      </c>
      <c r="B44" s="1" t="inlineStr">
        <is>
          <t>FLX-V90</t>
        </is>
      </c>
      <c r="C44" s="1" t="inlineStr">
        <is>
          <t>FLX-2026-0802</t>
        </is>
      </c>
      <c r="D44" s="1" t="inlineStr">
        <is>
          <t>L26145-L1-T2</t>
        </is>
      </c>
      <c r="E44" s="1" t="inlineStr">
        <is>
          <t>AF-FC-0330</t>
        </is>
      </c>
      <c r="F44" s="1" t="inlineStr">
        <is>
          <t>Linea 1</t>
        </is>
      </c>
      <c r="G44" s="1" t="n">
        <v>8</v>
      </c>
      <c r="H44" s="1" t="inlineStr">
        <is>
          <t>pz</t>
        </is>
      </c>
      <c r="I44" s="1" t="inlineStr">
        <is>
          <t>Popescu I.</t>
        </is>
      </c>
      <c r="J44" s="1" t="inlineStr">
        <is>
          <t>#N/D sul riferimento DoC in carico - verificare con Qualità prima del rilascio lotto?? (uscita comunque, ndr Trentin)</t>
        </is>
      </c>
    </row>
    <row r="45">
      <c r="A45" s="1" t="inlineStr">
        <is>
          <t>26/05/2026</t>
        </is>
      </c>
      <c r="B45" s="1" t="inlineStr">
        <is>
          <t>FLX-S48</t>
        </is>
      </c>
      <c r="C45" s="1" t="inlineStr">
        <is>
          <t>FLX-2026-0652</t>
        </is>
      </c>
      <c r="D45" s="1" t="inlineStr">
        <is>
          <t>L26146-L2-T1</t>
        </is>
      </c>
      <c r="E45" s="1" t="inlineStr">
        <is>
          <t>AF-CR-0215</t>
        </is>
      </c>
      <c r="F45" s="1" t="inlineStr">
        <is>
          <t>Linea 2</t>
        </is>
      </c>
      <c r="G45" s="1" t="n">
        <v>7.3</v>
      </c>
      <c r="H45" s="1" t="inlineStr">
        <is>
          <t>pz</t>
        </is>
      </c>
      <c r="I45" s="1" t="inlineStr">
        <is>
          <t>Ben Salah A.</t>
        </is>
      </c>
    </row>
    <row r="46">
      <c r="A46" s="1" t="inlineStr">
        <is>
          <t>01/06/2026</t>
        </is>
      </c>
      <c r="B46" s="1" t="inlineStr">
        <is>
          <t>FLX-F450</t>
        </is>
      </c>
      <c r="C46" s="1" t="inlineStr">
        <is>
          <t>FLX-2026-0704</t>
        </is>
      </c>
      <c r="D46" s="1" t="inlineStr">
        <is>
          <t>L26152-L1-T1</t>
        </is>
      </c>
      <c r="E46" s="1" t="inlineStr">
        <is>
          <t>AF-SN-0450</t>
        </is>
      </c>
      <c r="F46" s="1" t="inlineStr">
        <is>
          <t>Linea 1</t>
        </is>
      </c>
      <c r="G46" s="1" t="n">
        <v>3</v>
      </c>
      <c r="H46" s="1" t="inlineStr">
        <is>
          <t>bobine</t>
        </is>
      </c>
      <c r="I46" s="1" t="inlineStr">
        <is>
          <t>Popescu I.</t>
        </is>
      </c>
    </row>
    <row r="47">
      <c r="A47" s="1" t="inlineStr">
        <is>
          <t>01/06/2026</t>
        </is>
      </c>
      <c r="B47" s="1" t="inlineStr">
        <is>
          <t>FLX-F300</t>
        </is>
      </c>
      <c r="C47" s="1" t="inlineStr">
        <is>
          <t>FLX-2026-0705</t>
        </is>
      </c>
      <c r="D47" s="1" t="inlineStr">
        <is>
          <t>L26152-L1-T2</t>
        </is>
      </c>
      <c r="E47" s="1" t="inlineStr">
        <is>
          <t>AF-FC-0330</t>
        </is>
      </c>
      <c r="F47" s="1" t="inlineStr">
        <is>
          <t>Linea 1</t>
        </is>
      </c>
      <c r="G47" s="1" t="n">
        <v>2</v>
      </c>
      <c r="H47" s="1" t="inlineStr">
        <is>
          <t>bobine</t>
        </is>
      </c>
      <c r="I47" s="1" t="inlineStr">
        <is>
          <t>Popescu I.</t>
        </is>
      </c>
    </row>
    <row r="48">
      <c r="A48" s="1" t="inlineStr">
        <is>
          <t>03/06/2026</t>
        </is>
      </c>
      <c r="B48" s="1" t="inlineStr">
        <is>
          <t>FLX-S45</t>
        </is>
      </c>
      <c r="C48" s="1" t="inlineStr">
        <is>
          <t>FLX-2026-0652</t>
        </is>
      </c>
      <c r="D48" s="1" t="inlineStr">
        <is>
          <t>L26154-L2-T1</t>
        </is>
      </c>
      <c r="E48" s="1" t="inlineStr">
        <is>
          <t>AF-CR-0212</t>
        </is>
      </c>
      <c r="F48" s="1" t="inlineStr">
        <is>
          <t>Linea 2</t>
        </is>
      </c>
      <c r="G48" s="1" t="n">
        <v>5.7</v>
      </c>
      <c r="H48" s="1" t="inlineStr">
        <is>
          <t>pz</t>
        </is>
      </c>
      <c r="I48" s="1" t="inlineStr">
        <is>
          <t>Ben Salah A.</t>
        </is>
      </c>
    </row>
    <row r="49">
      <c r="A49" s="1" t="inlineStr">
        <is>
          <t>08/06/2026</t>
        </is>
      </c>
      <c r="B49" s="1" t="inlineStr">
        <is>
          <t>FLX-F450</t>
        </is>
      </c>
      <c r="C49" s="1" t="inlineStr">
        <is>
          <t>FLX-2026-0801</t>
        </is>
      </c>
      <c r="D49" s="1" t="inlineStr">
        <is>
          <t>L26159-L1-T1</t>
        </is>
      </c>
      <c r="E49" s="1" t="inlineStr">
        <is>
          <t>AF-SN-0450</t>
        </is>
      </c>
      <c r="F49" s="1" t="inlineStr">
        <is>
          <t>Linea 1</t>
        </is>
      </c>
      <c r="G49" s="1" t="n">
        <v>3</v>
      </c>
      <c r="H49" s="1" t="inlineStr">
        <is>
          <t>bobine</t>
        </is>
      </c>
      <c r="I49" s="1" t="inlineStr">
        <is>
          <t>Popescu I.</t>
        </is>
      </c>
      <c r="J49" s="1" t="inlineStr">
        <is>
          <t>ATTENZIONE lotto film senza DoC agganciata (#N/D) - Marchetti avvisata, autorizzato in deroga scritta? cercare la mail</t>
        </is>
      </c>
    </row>
    <row r="50">
      <c r="A50" s="1" t="inlineStr">
        <is>
          <t>08/06/2026</t>
        </is>
      </c>
      <c r="B50" s="1" t="inlineStr">
        <is>
          <t>FLX-V90</t>
        </is>
      </c>
      <c r="C50" s="1" t="inlineStr">
        <is>
          <t>FLX-2026-0802</t>
        </is>
      </c>
      <c r="D50" s="1" t="inlineStr">
        <is>
          <t>L26159-L1-T2</t>
        </is>
      </c>
      <c r="E50" s="1" t="inlineStr">
        <is>
          <t>AF-FC-0330</t>
        </is>
      </c>
      <c r="F50" s="1" t="inlineStr">
        <is>
          <t>Linea 1</t>
        </is>
      </c>
      <c r="G50" s="1" t="n">
        <v>7.9</v>
      </c>
      <c r="H50" s="1" t="inlineStr">
        <is>
          <t>pz</t>
        </is>
      </c>
      <c r="I50" s="1" t="inlineStr">
        <is>
          <t>Popescu I.</t>
        </is>
      </c>
    </row>
    <row r="51">
      <c r="A51" s="1" t="inlineStr">
        <is>
          <t>09/06/2026</t>
        </is>
      </c>
      <c r="B51" s="1" t="inlineStr">
        <is>
          <t>FLX-S48</t>
        </is>
      </c>
      <c r="C51" s="1" t="inlineStr">
        <is>
          <t>FLX-2026-0856</t>
        </is>
      </c>
      <c r="D51" s="1" t="inlineStr">
        <is>
          <t>L26160-L2-T1</t>
        </is>
      </c>
      <c r="E51" s="1" t="inlineStr">
        <is>
          <t>AF-CR-0215</t>
        </is>
      </c>
      <c r="F51" s="1" t="inlineStr">
        <is>
          <t>Linea 2</t>
        </is>
      </c>
      <c r="G51" s="1" t="n">
        <v>7.2</v>
      </c>
      <c r="H51" s="1" t="inlineStr">
        <is>
          <t>pz</t>
        </is>
      </c>
      <c r="I51" s="1" t="inlineStr">
        <is>
          <t>Ben Salah A.</t>
        </is>
      </c>
      <c r="J51" s="1" t="inlineStr">
        <is>
          <t>giorno ispezione ULSS in stabilimento, registro mostrato agli ispettori</t>
        </is>
      </c>
    </row>
    <row r="52">
      <c r="A52" s="1" t="inlineStr">
        <is>
          <t>10/06/2026</t>
        </is>
      </c>
      <c r="B52" s="1" t="inlineStr">
        <is>
          <t>FLX-S45</t>
        </is>
      </c>
      <c r="C52" s="1" t="inlineStr">
        <is>
          <t>FLX-2026-0855</t>
        </is>
      </c>
      <c r="D52" s="1" t="inlineStr">
        <is>
          <t>L26161-L2-T1</t>
        </is>
      </c>
      <c r="E52" s="1" t="inlineStr">
        <is>
          <t>AF-CR-0212</t>
        </is>
      </c>
      <c r="F52" s="1" t="inlineStr">
        <is>
          <t>Linea 2</t>
        </is>
      </c>
      <c r="G52" s="1" t="n">
        <v>5.8</v>
      </c>
      <c r="H52" s="1" t="inlineStr">
        <is>
          <t>pz</t>
        </is>
      </c>
      <c r="I52" s="1" t="inlineStr">
        <is>
          <t>Ben Salah A.</t>
        </is>
      </c>
    </row>
    <row r="53">
      <c r="A53" s="1" t="inlineStr">
        <is>
          <t>scarichi gen-feb ricostruiti da bolle interne (blocco incompleto)</t>
        </is>
      </c>
    </row>
    <row r="54">
      <c r="A54" s="1" t="inlineStr">
        <is>
          <t>12/01/2026</t>
        </is>
      </c>
      <c r="B54" s="1" t="inlineStr">
        <is>
          <t>FLX-F450</t>
        </is>
      </c>
      <c r="C54" s="1" t="inlineStr">
        <is>
          <t>FLX-2025-9917</t>
        </is>
      </c>
      <c r="D54" s="1" t="inlineStr">
        <is>
          <t>L26012-L1-T1</t>
        </is>
      </c>
      <c r="E54" s="1" t="inlineStr">
        <is>
          <t>AF-SN-0450</t>
        </is>
      </c>
      <c r="F54" s="1" t="inlineStr">
        <is>
          <t>Linea 1</t>
        </is>
      </c>
      <c r="G54" s="1" t="n">
        <v>3</v>
      </c>
      <c r="H54" s="1" t="inlineStr">
        <is>
          <t>bobine</t>
        </is>
      </c>
      <c r="I54" s="1" t="inlineStr">
        <is>
          <t>Popescu I.</t>
        </is>
      </c>
    </row>
    <row r="55">
      <c r="A55" s="1" t="inlineStr">
        <is>
          <t>12/01/2026</t>
        </is>
      </c>
      <c r="B55" s="1" t="inlineStr">
        <is>
          <t>FLX-F450</t>
        </is>
      </c>
      <c r="C55" s="1" t="inlineStr">
        <is>
          <t>FLX-2025-9917</t>
        </is>
      </c>
      <c r="D55" s="1" t="inlineStr">
        <is>
          <t>L26012-L1-T2</t>
        </is>
      </c>
      <c r="E55" s="1" t="inlineStr">
        <is>
          <t>AF-SN-0450</t>
        </is>
      </c>
      <c r="F55" s="1" t="inlineStr">
        <is>
          <t>Linea 1</t>
        </is>
      </c>
      <c r="G55" s="1" t="n">
        <v>3</v>
      </c>
      <c r="H55" s="1" t="inlineStr">
        <is>
          <t>bobine</t>
        </is>
      </c>
      <c r="I55" s="1" t="inlineStr">
        <is>
          <t>Popescu I.</t>
        </is>
      </c>
    </row>
    <row r="56">
      <c r="A56" s="1" t="inlineStr">
        <is>
          <t>13/01/2026</t>
        </is>
      </c>
      <c r="B56" s="1" t="inlineStr">
        <is>
          <t>FLX-S45</t>
        </is>
      </c>
      <c r="C56" s="1" t="inlineStr">
        <is>
          <t>FLX-2025-9890</t>
        </is>
      </c>
      <c r="D56" s="1" t="inlineStr">
        <is>
          <t>L26013-L2-T1</t>
        </is>
      </c>
      <c r="E56" s="1" t="inlineStr">
        <is>
          <t>AF-CR-0212</t>
        </is>
      </c>
      <c r="F56" s="1" t="inlineStr">
        <is>
          <t>Linea 2</t>
        </is>
      </c>
      <c r="G56" s="1" t="n">
        <v>5.5</v>
      </c>
      <c r="H56" s="1" t="inlineStr">
        <is>
          <t>pz</t>
        </is>
      </c>
      <c r="I56" s="1" t="inlineStr">
        <is>
          <t>Ben Salah A.</t>
        </is>
      </c>
    </row>
    <row r="57">
      <c r="A57" s="1" t="inlineStr">
        <is>
          <t>19/01/2026</t>
        </is>
      </c>
      <c r="B57" s="1" t="inlineStr">
        <is>
          <t>FLX-F300</t>
        </is>
      </c>
      <c r="C57" s="1" t="inlineStr">
        <is>
          <t>FLX-2025-9918</t>
        </is>
      </c>
      <c r="D57" s="1" t="inlineStr">
        <is>
          <t>L26019-L1-T1</t>
        </is>
      </c>
      <c r="E57" s="1" t="inlineStr">
        <is>
          <t>AF-FC-0330</t>
        </is>
      </c>
      <c r="F57" s="1" t="inlineStr">
        <is>
          <t>Linea 1</t>
        </is>
      </c>
      <c r="G57" s="1" t="n">
        <v>2</v>
      </c>
      <c r="H57" s="1" t="inlineStr">
        <is>
          <t>bobine</t>
        </is>
      </c>
      <c r="I57" s="1" t="inlineStr">
        <is>
          <t>Popescu I.</t>
        </is>
      </c>
    </row>
    <row r="58">
      <c r="A58" s="1" t="inlineStr">
        <is>
          <t>19/01/2026</t>
        </is>
      </c>
      <c r="B58" s="1" t="inlineStr">
        <is>
          <t>FLX-V90</t>
        </is>
      </c>
      <c r="C58" s="1" t="inlineStr">
        <is>
          <t>FLX-2025-9921</t>
        </is>
      </c>
      <c r="D58" s="1" t="inlineStr">
        <is>
          <t>L26019-L1-T2</t>
        </is>
      </c>
      <c r="E58" s="1" t="inlineStr">
        <is>
          <t>AF-FC-0330</t>
        </is>
      </c>
      <c r="F58" s="1" t="inlineStr">
        <is>
          <t>Linea 1</t>
        </is>
      </c>
      <c r="G58" s="1" t="n">
        <v>8</v>
      </c>
      <c r="H58" s="1" t="inlineStr">
        <is>
          <t>pz</t>
        </is>
      </c>
      <c r="I58" s="1" t="inlineStr">
        <is>
          <t>Popescu I.</t>
        </is>
      </c>
    </row>
    <row r="59">
      <c r="A59" s="1" t="inlineStr">
        <is>
          <t>26/01/2026</t>
        </is>
      </c>
      <c r="B59" s="1" t="inlineStr">
        <is>
          <t>FLX-F450</t>
        </is>
      </c>
      <c r="C59" s="1" t="inlineStr">
        <is>
          <t>FLX-2026-0118</t>
        </is>
      </c>
      <c r="D59" s="1" t="inlineStr">
        <is>
          <t>L26026-L1-T1</t>
        </is>
      </c>
      <c r="E59" s="1" t="inlineStr">
        <is>
          <t>AF-SN-0450</t>
        </is>
      </c>
      <c r="F59" s="1" t="inlineStr">
        <is>
          <t>Linea 1</t>
        </is>
      </c>
      <c r="G59" s="1" t="n">
        <v>3</v>
      </c>
      <c r="H59" s="1" t="inlineStr">
        <is>
          <t>bobine</t>
        </is>
      </c>
      <c r="I59" s="1" t="inlineStr">
        <is>
          <t>Popescu I.</t>
        </is>
      </c>
    </row>
    <row r="60">
      <c r="A60" s="1" t="inlineStr">
        <is>
          <t>27/01/2026</t>
        </is>
      </c>
      <c r="B60" s="1" t="inlineStr">
        <is>
          <t>FLX-S45</t>
        </is>
      </c>
      <c r="C60" s="1" t="inlineStr">
        <is>
          <t>FLX-2025-9890</t>
        </is>
      </c>
      <c r="D60" s="1" t="inlineStr">
        <is>
          <t>L26027-L2-T1</t>
        </is>
      </c>
      <c r="E60" s="1" t="inlineStr">
        <is>
          <t>AF-CR-0212</t>
        </is>
      </c>
      <c r="F60" s="1" t="inlineStr">
        <is>
          <t>Linea 2</t>
        </is>
      </c>
      <c r="G60" s="1" t="n">
        <v>5.6</v>
      </c>
      <c r="H60" s="1" t="inlineStr">
        <is>
          <t>pz</t>
        </is>
      </c>
      <c r="I60" s="1" t="inlineStr">
        <is>
          <t>Ben Salah A.</t>
        </is>
      </c>
    </row>
    <row r="61">
      <c r="A61" s="1" t="inlineStr">
        <is>
          <t>02/02/2026</t>
        </is>
      </c>
      <c r="B61" s="1" t="inlineStr">
        <is>
          <t>FLX-F450</t>
        </is>
      </c>
      <c r="C61" s="1" t="inlineStr">
        <is>
          <t>FLX-2026-0118</t>
        </is>
      </c>
      <c r="D61" s="1" t="inlineStr">
        <is>
          <t>L26033-L1-T1</t>
        </is>
      </c>
      <c r="E61" s="1" t="inlineStr">
        <is>
          <t>AF-SN-0450</t>
        </is>
      </c>
      <c r="F61" s="1" t="inlineStr">
        <is>
          <t>Linea 1</t>
        </is>
      </c>
      <c r="G61" s="1" t="n">
        <v>3</v>
      </c>
      <c r="H61" s="1" t="inlineStr">
        <is>
          <t>bobine</t>
        </is>
      </c>
      <c r="I61" s="1" t="inlineStr">
        <is>
          <t>Popescu I.</t>
        </is>
      </c>
    </row>
    <row r="62">
      <c r="A62" s="1" t="inlineStr">
        <is>
          <t>02/02/2026</t>
        </is>
      </c>
      <c r="B62" s="1" t="inlineStr">
        <is>
          <t>FLX-F450</t>
        </is>
      </c>
      <c r="C62" s="1" t="inlineStr">
        <is>
          <t>FLX-2026-0201</t>
        </is>
      </c>
      <c r="D62" s="1" t="inlineStr">
        <is>
          <t>L26033-L1-T2</t>
        </is>
      </c>
      <c r="E62" s="1" t="inlineStr">
        <is>
          <t>AF-SN-0450</t>
        </is>
      </c>
      <c r="F62" s="1" t="inlineStr">
        <is>
          <t>Linea 1</t>
        </is>
      </c>
      <c r="G62" s="1" t="n">
        <v>2</v>
      </c>
      <c r="H62" s="1" t="inlineStr">
        <is>
          <t>bobine</t>
        </is>
      </c>
      <c r="I62" s="1" t="inlineStr">
        <is>
          <t>Popescu I.</t>
        </is>
      </c>
      <c r="J62" s="1" t="inlineStr">
        <is>
          <t>cambio bobina a metà turno, due lotti film sullo stesso lotto PF - segnato per tracciabilità</t>
        </is>
      </c>
    </row>
    <row r="63">
      <c r="A63" s="1" t="inlineStr">
        <is>
          <t>09/02/2026</t>
        </is>
      </c>
      <c r="B63" s="1" t="inlineStr">
        <is>
          <t>FLX-V90</t>
        </is>
      </c>
      <c r="C63" s="1" t="inlineStr">
        <is>
          <t>FLX-2026-0204</t>
        </is>
      </c>
      <c r="D63" s="1" t="inlineStr">
        <is>
          <t>L26040-L1-T1</t>
        </is>
      </c>
      <c r="E63" s="1" t="inlineStr">
        <is>
          <t>AF-FC-0330</t>
        </is>
      </c>
      <c r="F63" s="1" t="inlineStr">
        <is>
          <t>Linea 1</t>
        </is>
      </c>
      <c r="G63" s="1" t="n">
        <v>8.1</v>
      </c>
      <c r="H63" s="1" t="inlineStr">
        <is>
          <t>pz</t>
        </is>
      </c>
      <c r="I63" s="1" t="inlineStr">
        <is>
          <t>Popescu I.</t>
        </is>
      </c>
    </row>
    <row r="64">
      <c r="A64" s="1" t="inlineStr">
        <is>
          <t>10/02/2026</t>
        </is>
      </c>
      <c r="B64" s="1" t="inlineStr">
        <is>
          <t>FLX-S45</t>
        </is>
      </c>
      <c r="C64" s="1" t="inlineStr">
        <is>
          <t>FLX-2026-0205</t>
        </is>
      </c>
      <c r="D64" s="1" t="inlineStr">
        <is>
          <t>L26041-L2-T1</t>
        </is>
      </c>
      <c r="E64" s="1" t="inlineStr">
        <is>
          <t>AF-CR-0212</t>
        </is>
      </c>
      <c r="F64" s="1" t="inlineStr">
        <is>
          <t>Linea 2</t>
        </is>
      </c>
      <c r="G64" s="1" t="n">
        <v>5.9</v>
      </c>
      <c r="H64" s="1" t="inlineStr">
        <is>
          <t>pz</t>
        </is>
      </c>
      <c r="I64" s="1" t="inlineStr">
        <is>
          <t>Ben Salah A.</t>
        </is>
      </c>
      <c r="J64" s="1" t="inlineStr">
        <is>
          <t>sacchetto del lotto SENZA DoC (arrivata solo a marzo con rev.4) - usato lo stesso, nessuno se n'era accorto</t>
        </is>
      </c>
    </row>
    <row r="65">
      <c r="A65" s="1" t="inlineStr">
        <is>
          <t>16/02/2026</t>
        </is>
      </c>
      <c r="B65" s="1" t="inlineStr">
        <is>
          <t>FLX-F450</t>
        </is>
      </c>
      <c r="C65" s="1" t="inlineStr">
        <is>
          <t>FLX-2026-0201</t>
        </is>
      </c>
      <c r="D65" s="1" t="inlineStr">
        <is>
          <t>L26047-L1-T1</t>
        </is>
      </c>
      <c r="E65" s="1" t="inlineStr">
        <is>
          <t>AF-SN-0450</t>
        </is>
      </c>
      <c r="F65" s="1" t="inlineStr">
        <is>
          <t>Linea 1</t>
        </is>
      </c>
      <c r="G65" s="1" t="n">
        <v>3</v>
      </c>
      <c r="H65" s="1" t="inlineStr">
        <is>
          <t>bobine</t>
        </is>
      </c>
      <c r="I65" s="1" t="inlineStr">
        <is>
          <t>Popescu I.</t>
        </is>
      </c>
    </row>
    <row r="66">
      <c r="A66" s="1" t="inlineStr">
        <is>
          <t>23/02/2026</t>
        </is>
      </c>
      <c r="B66" s="1" t="inlineStr">
        <is>
          <t>FLX-F300</t>
        </is>
      </c>
      <c r="C66" s="1" t="inlineStr">
        <is>
          <t>FLX-2026-0244</t>
        </is>
      </c>
      <c r="D66" s="1" t="inlineStr">
        <is>
          <t>L26054-L1-T1</t>
        </is>
      </c>
      <c r="E66" s="1" t="inlineStr">
        <is>
          <t>AF-FC-0330</t>
        </is>
      </c>
      <c r="F66" s="1" t="inlineStr">
        <is>
          <t>Linea 1</t>
        </is>
      </c>
      <c r="G66" s="1" t="n">
        <v>2</v>
      </c>
      <c r="H66" s="1" t="inlineStr">
        <is>
          <t>bobine</t>
        </is>
      </c>
      <c r="I66" s="1" t="inlineStr">
        <is>
          <t>Popescu I.</t>
        </is>
      </c>
    </row>
    <row r="67">
      <c r="A67" s="1" t="inlineStr">
        <is>
          <t>24/02/2026</t>
        </is>
      </c>
      <c r="B67" s="1" t="inlineStr">
        <is>
          <t>FLX-S45</t>
        </is>
      </c>
      <c r="C67" s="1" t="inlineStr">
        <is>
          <t>FLX-2026-0205</t>
        </is>
      </c>
      <c r="D67" s="1" t="inlineStr">
        <is>
          <t>L26055-L2-T1</t>
        </is>
      </c>
      <c r="E67" s="1" t="inlineStr">
        <is>
          <t>AF-CR-0212</t>
        </is>
      </c>
      <c r="F67" s="1" t="inlineStr">
        <is>
          <t>Linea 2</t>
        </is>
      </c>
      <c r="G67" s="1" t="n">
        <v>6</v>
      </c>
      <c r="H67" s="1" t="inlineStr">
        <is>
          <t>pz</t>
        </is>
      </c>
      <c r="I67" s="1" t="inlineStr">
        <is>
          <t>Ben Salah 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DICHIARAZIONI DI CONFORMITA' MOCA - Reg. (CE) 1935/2004 e Reg. (UE) 10/2011</t>
        </is>
      </c>
      <c r="B1" s="1" t="inlineStr">
        <is>
          <t>DICHIARAZIONI DI CONFORMITA' MOCA - Reg. (CE) 1935/2004 e Reg. (UE) 10/2011</t>
        </is>
      </c>
      <c r="C1" s="1" t="inlineStr">
        <is>
          <t>DICHIARAZIONI DI CONFORMITA' MOCA - Reg. (CE) 1935/2004 e Reg. (UE) 10/2011</t>
        </is>
      </c>
      <c r="D1" s="1" t="inlineStr">
        <is>
          <t>DICHIARAZIONI DI CONFORMITA' MOCA - Reg. (CE) 1935/2004 e Reg. (UE) 10/2011</t>
        </is>
      </c>
      <c r="E1" s="1" t="inlineStr">
        <is>
          <t>DICHIARAZIONI DI CONFORMITA' MOCA - Reg. (CE) 1935/2004 e Reg. (UE) 10/2011</t>
        </is>
      </c>
      <c r="F1" s="1" t="inlineStr">
        <is>
          <t>DICHIARAZIONI DI CONFORMITA' MOCA - Reg. (CE) 1935/2004 e Reg. (UE) 10/2011</t>
        </is>
      </c>
    </row>
    <row r="2">
      <c r="A2" s="1" t="inlineStr">
        <is>
          <t>N_DoC</t>
        </is>
      </c>
      <c r="B2" s="1" t="inlineStr">
        <is>
          <t>Data_emissione</t>
        </is>
      </c>
      <c r="C2" s="1" t="inlineStr">
        <is>
          <t>Fornitore</t>
        </is>
      </c>
      <c r="D2" s="1" t="inlineStr">
        <is>
          <t>Articoli_coperti</t>
        </is>
      </c>
      <c r="E2" s="1" t="inlineStr">
        <is>
          <t>Rev</t>
        </is>
      </c>
      <c r="F2" s="1" t="inlineStr">
        <is>
          <t>Note</t>
        </is>
      </c>
    </row>
    <row r="3">
      <c r="A3" s="1" t="inlineStr">
        <is>
          <t>DoC-FLX-2025-114</t>
        </is>
      </c>
      <c r="B3" s="1" t="inlineStr">
        <is>
          <t>12/09/2025</t>
        </is>
      </c>
      <c r="C3" s="1" t="inlineStr">
        <is>
          <t>Flexipack Nordest S.r.l.</t>
        </is>
      </c>
      <c r="D3" s="1" t="inlineStr">
        <is>
          <t>FLX-F450, FLX-F300, FLX-V90, FLX-B520</t>
        </is>
      </c>
      <c r="E3" s="1" t="inlineStr">
        <is>
          <t>rev.2</t>
        </is>
      </c>
      <c r="F3" s="1" t="inlineStr">
        <is>
          <t>valida per lotti prodotti fino a dic 2025 - simulazione prove migrazione globale e specifica su simulanti A, B, D2 (10% etanolo, 3% ac. acetico, olio)</t>
        </is>
      </c>
    </row>
    <row r="4">
      <c r="A4" s="1" t="inlineStr">
        <is>
          <t>DoC-FLX-2026-011</t>
        </is>
      </c>
      <c r="B4" s="1" t="inlineStr">
        <is>
          <t>09/01/2026</t>
        </is>
      </c>
      <c r="C4" s="1" t="inlineStr">
        <is>
          <t>Flexipack Nordest S.r.l.</t>
        </is>
      </c>
      <c r="D4" s="1" t="inlineStr">
        <is>
          <t>FLX-F450, FLX-F300, FLX-V90, FLX-B520</t>
        </is>
      </c>
      <c r="E4" s="1" t="inlineStr">
        <is>
          <t>rev.3</t>
        </is>
      </c>
      <c r="F4" s="1" t="inlineStr">
        <is>
          <t>rinnovo annuale - NON copre FLX-S45 (sacchetto PE), segnalato a Flexipack il 05/02</t>
        </is>
      </c>
    </row>
    <row r="5">
      <c r="A5" s="1" t="inlineStr">
        <is>
          <t>DoC-FLX-2026-035</t>
        </is>
      </c>
      <c r="B5" s="1" t="inlineStr">
        <is>
          <t>14/03/2026</t>
        </is>
      </c>
      <c r="C5" s="1" t="inlineStr">
        <is>
          <t>Flexipack Nordest S.r.l.</t>
        </is>
      </c>
      <c r="D5" s="1" t="inlineStr">
        <is>
          <t>FLX-F450, FLX-F300, FLX-V90, FLX-B520, FLX-S45, FLX-S48</t>
        </is>
      </c>
      <c r="E5" s="1" t="inlineStr">
        <is>
          <t>rev.4</t>
        </is>
      </c>
      <c r="F5" s="1" t="inlineStr">
        <is>
          <t>integra i sacchetti PE 6x50 e 8x45 + cambio masterbatch vaschetta. File PDF in Qualità, copia cartacea raccoglitore MOCA uff. magazzino</t>
        </is>
      </c>
    </row>
    <row r="6">
      <c r="A6" s="1" t="inlineStr">
        <is>
          <t>DoC-EG-2026-004</t>
        </is>
      </c>
      <c r="B6" s="1" t="inlineStr">
        <is>
          <t>08/01/2026</t>
        </is>
      </c>
      <c r="C6" s="1" t="inlineStr">
        <is>
          <t>Euroglass Boccacci S.r.l.</t>
        </is>
      </c>
      <c r="D6" s="1" t="inlineStr">
        <is>
          <t>EGB-V212, EGB-C63</t>
        </is>
      </c>
      <c r="E6" s="1" t="inlineStr">
        <is>
          <t>rev.1</t>
        </is>
      </c>
      <c r="F6" s="1" t="inlineStr">
        <is>
          <t>vetro + capsula con guarnizione plastisol senza ftalati - idoneo pastorizzazione</t>
        </is>
      </c>
    </row>
    <row r="7">
      <c r="A7" s="1" t="inlineStr">
        <is>
          <t>DoC-RP-2026-002</t>
        </is>
      </c>
      <c r="B7" s="1" t="inlineStr">
        <is>
          <t>10/01/2026</t>
        </is>
      </c>
      <c r="C7" s="1" t="inlineStr">
        <is>
          <t>Rational Pack S.r.l.</t>
        </is>
      </c>
      <c r="D7" s="1" t="inlineStr">
        <is>
          <t>RP-CT40 e tutti i formati cartone catalogo</t>
        </is>
      </c>
      <c r="E7" s="1" t="inlineStr">
        <is>
          <t>rev.1</t>
        </is>
      </c>
      <c r="F7" s="1" t="inlineStr">
        <is>
          <t>imballo secondario non a contatto diretto - dichiarazione generica annuale</t>
        </is>
      </c>
    </row>
    <row r="8">
      <c r="A8" s="1" t="inlineStr">
        <is>
          <t>#N/D</t>
        </is>
      </c>
      <c r="B8" s="1" t="inlineStr">
        <is>
          <t>#N/D</t>
        </is>
      </c>
      <c r="C8" s="1" t="inlineStr">
        <is>
          <t>Flexipack Nordest S.r.l.</t>
        </is>
      </c>
      <c r="D8" s="1" t="inlineStr">
        <is>
          <t>FLX-F450 (nuovo spessore EVOH da giugno)</t>
        </is>
      </c>
      <c r="E8" s="1" t="inlineStr">
        <is>
          <t>#N/D</t>
        </is>
      </c>
      <c r="F8" s="1" t="inlineStr">
        <is>
          <t>ATTESA - annunciata con mail del 28/05 (Rigato, uff. qualità Flexipack), non ancora pervenuta al 10/06. Lotto FLX-2026-0801 in deroga??</t>
        </is>
      </c>
    </row>
    <row r="9">
      <c r="A9" s="1" t="inlineStr">
        <is>
          <t>DoC-NG-E941</t>
        </is>
      </c>
      <c r="B9" s="1" t="inlineStr">
        <is>
          <t>02/01/2026</t>
        </is>
      </c>
      <c r="C9" s="1" t="inlineStr">
        <is>
          <t>Nordgas S.p.A.</t>
        </is>
      </c>
      <c r="D9" s="1" t="inlineStr">
        <is>
          <t>azoto E941, CO2 E290</t>
        </is>
      </c>
      <c r="E9" s="1" t="inlineStr">
        <is>
          <t>rev.1</t>
        </is>
      </c>
      <c r="F9" s="1" t="inlineStr">
        <is>
          <t>certificato purezza gas alimentari - archiviato qui anche se non è una DoC MOCA (decisione Marchetti per avere tutto in un raccoglitore)</t>
        </is>
      </c>
    </row>
    <row r="10"/>
    <row r="11">
      <c r="A11" s="1" t="inlineStr">
        <is>
          <t>verifica incrociata lotti maggio (appunti Trentin, non cancellare):</t>
        </is>
      </c>
    </row>
    <row r="12">
      <c r="A12" s="1" t="inlineStr">
        <is>
          <t>FLX-2026-0651 -&gt; L26128-L1-T1, L26128-L1-T2, L26130-L1-T1, L26130-L1-T2, L26132-L1-T1 (ok DoC-FLX-2026-035)</t>
        </is>
      </c>
    </row>
    <row r="13">
      <c r="A13" s="1" t="inlineStr">
        <is>
          <t>FLX-2026-0652 -&gt; L26128-L2-T1, L26131-L1-T2 (dom.), L26138-L2-T1, L26146-L2-T1, L26154-L2-T1 (ok)</t>
        </is>
      </c>
    </row>
    <row r="14">
      <c r="A14" s="1" t="inlineStr">
        <is>
          <t>FLX-2026-0653 -&gt; L26131-L1-T2 (ok)</t>
        </is>
      </c>
    </row>
    <row r="15">
      <c r="A15" s="1" t="inlineStr">
        <is>
          <t>FLX-2026-0801 -&gt; L26159-L1-T1 SENZA DoC #N/D - APERTO</t>
        </is>
      </c>
    </row>
    <row r="16">
      <c r="A16" s="1">
        <f>CERCA.VERT("FLX-2026-0801";A:F;6;FALSO)</f>
        <v/>
      </c>
      <c r="B16" s="1" t="inlineStr">
        <is>
          <t>#N/D</t>
        </is>
      </c>
      <c r="C16" s="1" t="inlineStr">
        <is>
          <t>#N/D</t>
        </is>
      </c>
      <c r="D16" s="1" t="inlineStr">
        <is>
          <t>#N/D</t>
        </is>
      </c>
      <c r="E16" s="1" t="inlineStr">
        <is>
          <t>#N/D</t>
        </is>
      </c>
      <c r="F16" s="1" t="inlineStr">
        <is>
          <t>#N/D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>Aurora Food Group S.r.l.</Company>
  <AppVersion>16.0300</AppVersion>
  <TotalTime>779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estratto registro carico scarico MOCA</dc:title>
  <dc:creator>Nicola Faggionato</dc:creator>
  <cp:lastModifiedBy>Luisa Trentin</cp:lastModifiedBy>
  <cp:revision>10</cp:revision>
  <dc:description/>
  <dcterms:created xsi:type="dcterms:W3CDTF">2025-07-08T10:23:20Z</dcterms:created>
  <dcterms:modified xsi:type="dcterms:W3CDTF">2026-08-12T18:23:20Z</dcterms:modified>
  <cp:company>Aurora Food Group S.r.l.</cp:company>
</cp:coreProperties>
</file>