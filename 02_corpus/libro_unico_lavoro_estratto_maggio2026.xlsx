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edolini maggio" sheetId="1" state="visible" r:id="rId1"/>
    <sheet xmlns:r="http://schemas.openxmlformats.org/officeDocument/2006/relationships" name="Riepilogo" sheetId="2" state="visible" r:id="rId2"/>
    <sheet xmlns:r="http://schemas.openxmlformats.org/officeDocument/2006/relationships" name="Straordinari" sheetId="3" state="visible" r:id="rId3"/>
    <sheet xmlns:r="http://schemas.openxmlformats.org/officeDocument/2006/relationships" name="Costo del lavor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 &quot;€&quot;"/>
    <numFmt numFmtId="165" formatCode="0,0%"/>
  </numFmts>
  <fonts count="6">
    <font>
      <name val="Calibri"/>
      <family val="2"/>
      <color theme="1"/>
      <sz val="11"/>
      <scheme val="minor"/>
    </font>
    <font>
      <name val="Calibri"/>
      <b val="1"/>
      <color rgb="001F3864"/>
      <sz val="13"/>
    </font>
    <font>
      <name val="Calibri"/>
      <i val="1"/>
      <color rgb="00808080"/>
      <sz val="8"/>
    </font>
    <font>
      <name val="Calibri"/>
      <b val="1"/>
      <color rgb="00FFFFFF"/>
      <sz val="9"/>
    </font>
    <font>
      <name val="Calibri"/>
      <sz val="10"/>
    </font>
    <font>
      <name val="Calibri"/>
      <b val="1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wrapText="1"/>
    </xf>
    <xf numFmtId="0" fontId="4" fillId="0" borderId="1" pivotButton="0" quotePrefix="0" xfId="0"/>
    <xf numFmtId="164" fontId="4" fillId="0" borderId="1" pivotButton="0" quotePrefix="0" xfId="0"/>
    <xf numFmtId="0" fontId="2" fillId="0" borderId="1" pivotButton="0" quotePrefix="0" xfId="0"/>
    <xf numFmtId="0" fontId="5" fillId="3" borderId="1" pivotButton="0" quotePrefix="0" xfId="0"/>
    <xf numFmtId="164" fontId="5" fillId="3" borderId="1" pivotButton="0" quotePrefix="0" xfId="0"/>
    <xf numFmtId="0" fontId="5" fillId="0" borderId="0" pivotButton="0" quotePrefix="0" xfId="0"/>
    <xf numFmtId="0" fontId="3" fillId="2" borderId="1" pivotButton="0" quotePrefix="0" xfId="0"/>
    <xf numFmtId="0" fontId="4" fillId="0" borderId="0" pivotButton="0" quotePrefix="0" xfId="0"/>
    <xf numFmtId="164" fontId="4" fillId="0" borderId="0" pivotButton="0" quotePrefix="0" xfId="0"/>
    <xf numFmtId="164" fontId="5" fillId="0" borderId="0" pivotButton="0" quotePrefix="0" xfId="0"/>
    <xf numFmtId="165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4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6" customWidth="1" min="2" max="2"/>
    <col width="30" customWidth="1" min="3" max="3"/>
    <col width="11" customWidth="1" min="4" max="4"/>
    <col width="6" customWidth="1" min="5" max="5"/>
    <col width="12" customWidth="1" min="6" max="6"/>
    <col width="10" customWidth="1" min="7" max="7"/>
    <col width="14" customWidth="1" min="8" max="8"/>
    <col width="14" customWidth="1" min="9" max="9"/>
    <col width="13" customWidth="1" min="10" max="10"/>
    <col width="12" customWidth="1" min="11" max="11"/>
    <col width="14" customWidth="1" min="12" max="12"/>
    <col width="13" customWidth="1" min="13" max="13"/>
    <col width="15" customWidth="1" min="14" max="14"/>
    <col width="13" customWidth="1" min="15" max="15"/>
    <col width="15" customWidth="1" min="16" max="16"/>
    <col width="34" customWidth="1" min="17" max="17"/>
  </cols>
  <sheetData>
    <row r="1">
      <c r="A1" s="1" t="inlineStr">
        <is>
          <t>LIBRO UNICO DEL LAVORO - estratto cedolini maggio 2026</t>
        </is>
      </c>
    </row>
    <row r="2">
      <c r="A2" s="2" t="inlineStr">
        <is>
          <t>Aurora Food Group S.r.l. - elaborazione Studio Bellotto &amp; Associati - maggio 2026: 20 giornate lavorabili (il 1° maggio, venerdì, è festivo) = 160 ore ordinarie</t>
        </is>
      </c>
    </row>
    <row r="4" ht="30" customHeight="1">
      <c r="A4" s="3" t="inlineStr">
        <is>
          <t>Matricola</t>
        </is>
      </c>
      <c r="B4" s="3" t="inlineStr">
        <is>
          <t>Cognome e nome</t>
        </is>
      </c>
      <c r="C4" s="3" t="inlineStr">
        <is>
          <t>Mansione</t>
        </is>
      </c>
      <c r="D4" s="3" t="inlineStr">
        <is>
          <t>Reparto</t>
        </is>
      </c>
      <c r="E4" s="3" t="inlineStr">
        <is>
          <t>Liv.</t>
        </is>
      </c>
      <c r="F4" s="3" t="inlineStr">
        <is>
          <t>Paga oraria</t>
        </is>
      </c>
      <c r="G4" s="3" t="inlineStr">
        <is>
          <t>Ore ord.</t>
        </is>
      </c>
      <c r="H4" s="3" t="inlineStr">
        <is>
          <t>Ore str. diurno</t>
        </is>
      </c>
      <c r="I4" s="3" t="inlineStr">
        <is>
          <t>Ore str. nott.</t>
        </is>
      </c>
      <c r="J4" s="3" t="inlineStr">
        <is>
          <t>Ore str. fest.</t>
        </is>
      </c>
      <c r="K4" s="3" t="inlineStr">
        <is>
          <t>Ore assenza</t>
        </is>
      </c>
      <c r="L4" s="3" t="inlineStr">
        <is>
          <t>Retrib. lorda</t>
        </is>
      </c>
      <c r="M4" s="3" t="inlineStr">
        <is>
          <t>Contr. 9,19%</t>
        </is>
      </c>
      <c r="N4" s="3" t="inlineStr">
        <is>
          <t>Imponibile IRPEF</t>
        </is>
      </c>
      <c r="O4" s="3" t="inlineStr">
        <is>
          <t>IRPEF netta</t>
        </is>
      </c>
      <c r="P4" s="3" t="inlineStr">
        <is>
          <t>Netto in busta</t>
        </is>
      </c>
      <c r="Q4" s="3" t="inlineStr">
        <is>
          <t>Note</t>
        </is>
      </c>
    </row>
    <row r="5">
      <c r="A5" s="4" t="inlineStr">
        <is>
          <t>0201</t>
        </is>
      </c>
      <c r="B5" s="4" t="inlineStr">
        <is>
          <t>POPESCU IONUT</t>
        </is>
      </c>
      <c r="C5" s="4" t="inlineStr">
        <is>
          <t>Capoturno Linea 1</t>
        </is>
      </c>
      <c r="D5" s="4" t="inlineStr">
        <is>
          <t>LINEA 1</t>
        </is>
      </c>
      <c r="E5" s="4" t="inlineStr">
        <is>
          <t>4</t>
        </is>
      </c>
      <c r="F5" s="5" t="n">
        <v>11.82</v>
      </c>
      <c r="G5" s="4" t="n">
        <v>160</v>
      </c>
      <c r="H5" s="4" t="n">
        <v>2</v>
      </c>
      <c r="I5" s="4" t="n">
        <v>0</v>
      </c>
      <c r="J5" s="4" t="n">
        <v>8</v>
      </c>
      <c r="K5" s="4" t="n">
        <v>0</v>
      </c>
      <c r="L5" s="5">
        <f>ROUND(F5*G5+F5*1.30*H5+F5*1.55*I5+F5*1.65*J5,2)</f>
        <v/>
      </c>
      <c r="M5" s="5">
        <f>ROUND(L5*0.0919,2)</f>
        <v/>
      </c>
      <c r="N5" s="5">
        <f>ROUND(L5-M5,2)</f>
        <v/>
      </c>
      <c r="O5" s="5">
        <f>ROUND(N5*0.2280,2)</f>
        <v/>
      </c>
      <c r="P5" s="5">
        <f>ROUND(N5-O5,2)</f>
        <v/>
      </c>
      <c r="Q5" s="4" t="inlineStr"/>
    </row>
    <row r="6">
      <c r="A6" s="4" t="inlineStr">
        <is>
          <t>0202</t>
        </is>
      </c>
      <c r="B6" s="4" t="inlineStr">
        <is>
          <t>ROSSIN DAVIDE</t>
        </is>
      </c>
      <c r="C6" s="4" t="inlineStr">
        <is>
          <t>Operaio Linea 1</t>
        </is>
      </c>
      <c r="D6" s="4" t="inlineStr">
        <is>
          <t>LINEA 1</t>
        </is>
      </c>
      <c r="E6" s="4" t="inlineStr">
        <is>
          <t>5</t>
        </is>
      </c>
      <c r="F6" s="5" t="n">
        <v>10.64</v>
      </c>
      <c r="G6" s="4" t="n">
        <v>160</v>
      </c>
      <c r="H6" s="4" t="n">
        <v>6</v>
      </c>
      <c r="I6" s="4" t="n">
        <v>0</v>
      </c>
      <c r="J6" s="4" t="n">
        <v>0</v>
      </c>
      <c r="K6" s="4" t="n">
        <v>0</v>
      </c>
      <c r="L6" s="5">
        <f>ROUND(F6*G6+F6*1.30*H6+F6*1.55*I6+F6*1.65*J6,2)</f>
        <v/>
      </c>
      <c r="M6" s="5">
        <f>ROUND(L6*0.0919,2)</f>
        <v/>
      </c>
      <c r="N6" s="5">
        <f>ROUND(L6-M6,2)</f>
        <v/>
      </c>
      <c r="O6" s="5">
        <f>ROUND(N6*0.2280,2)</f>
        <v/>
      </c>
      <c r="P6" s="5">
        <f>ROUND(N6-O6,2)</f>
        <v/>
      </c>
      <c r="Q6" s="4" t="inlineStr"/>
    </row>
    <row r="7">
      <c r="A7" s="4" t="inlineStr">
        <is>
          <t>0203</t>
        </is>
      </c>
      <c r="B7" s="4" t="inlineStr">
        <is>
          <t>PERIN LUCA</t>
        </is>
      </c>
      <c r="C7" s="4" t="inlineStr">
        <is>
          <t>Operaio Linea 1</t>
        </is>
      </c>
      <c r="D7" s="4" t="inlineStr">
        <is>
          <t>LINEA 1</t>
        </is>
      </c>
      <c r="E7" s="4" t="inlineStr">
        <is>
          <t>5</t>
        </is>
      </c>
      <c r="F7" s="5" t="n">
        <v>10.64</v>
      </c>
      <c r="G7" s="4" t="n">
        <v>160</v>
      </c>
      <c r="H7" s="4" t="n">
        <v>6</v>
      </c>
      <c r="I7" s="4" t="n">
        <v>0</v>
      </c>
      <c r="J7" s="4" t="n">
        <v>0</v>
      </c>
      <c r="K7" s="4" t="n">
        <v>0</v>
      </c>
      <c r="L7" s="5">
        <f>ROUND(F7*G7+F7*1.30*H7+F7*1.55*I7+F7*1.65*J7,2)</f>
        <v/>
      </c>
      <c r="M7" s="5">
        <f>ROUND(L7*0.0919,2)</f>
        <v/>
      </c>
      <c r="N7" s="5">
        <f>ROUND(L7-M7,2)</f>
        <v/>
      </c>
      <c r="O7" s="5">
        <f>ROUND(N7*0.2280,2)</f>
        <v/>
      </c>
      <c r="P7" s="5">
        <f>ROUND(N7-O7,2)</f>
        <v/>
      </c>
      <c r="Q7" s="4" t="inlineStr"/>
    </row>
    <row r="8">
      <c r="A8" s="4" t="inlineStr">
        <is>
          <t>0204</t>
        </is>
      </c>
      <c r="B8" s="4" t="inlineStr">
        <is>
          <t>OSEI SAMUEL</t>
        </is>
      </c>
      <c r="C8" s="4" t="inlineStr">
        <is>
          <t>Operaio Linea 1</t>
        </is>
      </c>
      <c r="D8" s="4" t="inlineStr">
        <is>
          <t>LINEA 1</t>
        </is>
      </c>
      <c r="E8" s="4" t="inlineStr">
        <is>
          <t>6</t>
        </is>
      </c>
      <c r="F8" s="5" t="n">
        <v>10.11</v>
      </c>
      <c r="G8" s="4" t="n">
        <v>160</v>
      </c>
      <c r="H8" s="4" t="n">
        <v>8</v>
      </c>
      <c r="I8" s="4" t="n">
        <v>0</v>
      </c>
      <c r="J8" s="4" t="n">
        <v>0</v>
      </c>
      <c r="K8" s="4" t="n">
        <v>0</v>
      </c>
      <c r="L8" s="5">
        <f>ROUND(F8*G8+F8*1.30*H8+F8*1.55*I8+F8*1.65*J8,2)</f>
        <v/>
      </c>
      <c r="M8" s="5">
        <f>ROUND(L8*0.0919,2)</f>
        <v/>
      </c>
      <c r="N8" s="5">
        <f>ROUND(L8-M8,2)</f>
        <v/>
      </c>
      <c r="O8" s="5">
        <f>ROUND(N8*0.2280,2)</f>
        <v/>
      </c>
      <c r="P8" s="5">
        <f>ROUND(N8-O8,2)</f>
        <v/>
      </c>
      <c r="Q8" s="4" t="inlineStr"/>
    </row>
    <row r="9">
      <c r="A9" s="4" t="inlineStr">
        <is>
          <t>0205</t>
        </is>
      </c>
      <c r="B9" s="4" t="inlineStr">
        <is>
          <t>VASILESCU ANDREI</t>
        </is>
      </c>
      <c r="C9" s="4" t="inlineStr">
        <is>
          <t>Operaio Linea 1</t>
        </is>
      </c>
      <c r="D9" s="4" t="inlineStr">
        <is>
          <t>LINEA 1</t>
        </is>
      </c>
      <c r="E9" s="4" t="inlineStr">
        <is>
          <t>5</t>
        </is>
      </c>
      <c r="F9" s="5" t="n">
        <v>10.64</v>
      </c>
      <c r="G9" s="4" t="n">
        <v>160</v>
      </c>
      <c r="H9" s="4" t="n">
        <v>12</v>
      </c>
      <c r="I9" s="4" t="n">
        <v>0</v>
      </c>
      <c r="J9" s="4" t="n">
        <v>8</v>
      </c>
      <c r="K9" s="4" t="n">
        <v>0</v>
      </c>
      <c r="L9" s="5">
        <f>ROUND(F9*G9+F9*1.30*H9+F9*1.55*I9+F9*1.65*J9,2)</f>
        <v/>
      </c>
      <c r="M9" s="5">
        <f>ROUND(L9*0.0919,2)</f>
        <v/>
      </c>
      <c r="N9" s="5">
        <f>ROUND(L9-M9,2)</f>
        <v/>
      </c>
      <c r="O9" s="5">
        <f>ROUND(N9*0.2280,2)</f>
        <v/>
      </c>
      <c r="P9" s="5">
        <f>ROUND(N9-O9,2)</f>
        <v/>
      </c>
      <c r="Q9" s="4" t="inlineStr"/>
    </row>
    <row r="10">
      <c r="A10" s="4" t="inlineStr">
        <is>
          <t>0206</t>
        </is>
      </c>
      <c r="B10" s="4" t="inlineStr">
        <is>
          <t>BOGONI MARTA</t>
        </is>
      </c>
      <c r="C10" s="4" t="inlineStr">
        <is>
          <t>Operaia Linea 1</t>
        </is>
      </c>
      <c r="D10" s="4" t="inlineStr">
        <is>
          <t>LINEA 1</t>
        </is>
      </c>
      <c r="E10" s="4" t="inlineStr">
        <is>
          <t>6</t>
        </is>
      </c>
      <c r="F10" s="5" t="n">
        <v>10.11</v>
      </c>
      <c r="G10" s="4" t="n">
        <v>160</v>
      </c>
      <c r="H10" s="4" t="n">
        <v>8</v>
      </c>
      <c r="I10" s="4" t="n">
        <v>0</v>
      </c>
      <c r="J10" s="4" t="n">
        <v>0</v>
      </c>
      <c r="K10" s="4" t="n">
        <v>0</v>
      </c>
      <c r="L10" s="5">
        <f>ROUND(F10*G10+F10*1.30*H10+F10*1.55*I10+F10*1.65*J10,2)</f>
        <v/>
      </c>
      <c r="M10" s="5">
        <f>ROUND(L10*0.0919,2)</f>
        <v/>
      </c>
      <c r="N10" s="5">
        <f>ROUND(L10-M10,2)</f>
        <v/>
      </c>
      <c r="O10" s="5">
        <f>ROUND(N10*0.2280,2)</f>
        <v/>
      </c>
      <c r="P10" s="5">
        <f>ROUND(N10-O10,2)</f>
        <v/>
      </c>
      <c r="Q10" s="4" t="inlineStr"/>
    </row>
    <row r="11">
      <c r="A11" s="4" t="inlineStr">
        <is>
          <t>0207</t>
        </is>
      </c>
      <c r="B11" s="4" t="inlineStr">
        <is>
          <t>FURLAN ALESSANDRO</t>
        </is>
      </c>
      <c r="C11" s="4" t="inlineStr">
        <is>
          <t>Operaio Linea 1</t>
        </is>
      </c>
      <c r="D11" s="4" t="inlineStr">
        <is>
          <t>LINEA 1</t>
        </is>
      </c>
      <c r="E11" s="4" t="inlineStr">
        <is>
          <t>5</t>
        </is>
      </c>
      <c r="F11" s="5" t="n">
        <v>10.64</v>
      </c>
      <c r="G11" s="4" t="n">
        <v>160</v>
      </c>
      <c r="H11" s="4" t="n">
        <v>0</v>
      </c>
      <c r="I11" s="4" t="n">
        <v>0</v>
      </c>
      <c r="J11" s="4" t="n">
        <v>8</v>
      </c>
      <c r="K11" s="4" t="n">
        <v>0</v>
      </c>
      <c r="L11" s="5">
        <f>ROUND(F11*G11+F11*1.30*H11+F11*1.55*I11+F11*1.65*J11,2)</f>
        <v/>
      </c>
      <c r="M11" s="5">
        <f>ROUND(L11*0.0919,2)</f>
        <v/>
      </c>
      <c r="N11" s="5">
        <f>ROUND(L11-M11,2)</f>
        <v/>
      </c>
      <c r="O11" s="5">
        <f>ROUND(N11*0.2280,2)</f>
        <v/>
      </c>
      <c r="P11" s="5">
        <f>ROUND(N11-O11,2)</f>
        <v/>
      </c>
      <c r="Q11" s="4" t="inlineStr"/>
    </row>
    <row r="12">
      <c r="A12" s="4" t="inlineStr">
        <is>
          <t>0208</t>
        </is>
      </c>
      <c r="B12" s="4" t="inlineStr">
        <is>
          <t>EL AMRANI HASSAN</t>
        </is>
      </c>
      <c r="C12" s="4" t="inlineStr">
        <is>
          <t>Operaio Linea 1</t>
        </is>
      </c>
      <c r="D12" s="4" t="inlineStr">
        <is>
          <t>LINEA 1</t>
        </is>
      </c>
      <c r="E12" s="4" t="inlineStr">
        <is>
          <t>6</t>
        </is>
      </c>
      <c r="F12" s="5" t="n">
        <v>10.11</v>
      </c>
      <c r="G12" s="4" t="n">
        <v>160</v>
      </c>
      <c r="H12" s="4" t="n">
        <v>10</v>
      </c>
      <c r="I12" s="4" t="n">
        <v>0</v>
      </c>
      <c r="J12" s="4" t="n">
        <v>12</v>
      </c>
      <c r="K12" s="4" t="n">
        <v>0</v>
      </c>
      <c r="L12" s="5">
        <f>ROUND(F12*G12+F12*1.30*H12+F12*1.55*I12+F12*1.65*J12,2)</f>
        <v/>
      </c>
      <c r="M12" s="5">
        <f>ROUND(L12*0.0919,2)</f>
        <v/>
      </c>
      <c r="N12" s="5">
        <f>ROUND(L12-M12,2)</f>
        <v/>
      </c>
      <c r="O12" s="5">
        <f>ROUND(N12*0.2280,2)</f>
        <v/>
      </c>
      <c r="P12" s="5">
        <f>ROUND(N12-O12,2)</f>
        <v/>
      </c>
      <c r="Q12" s="4" t="inlineStr"/>
    </row>
    <row r="13">
      <c r="A13" s="4" t="inlineStr">
        <is>
          <t>0209</t>
        </is>
      </c>
      <c r="B13" s="4" t="inlineStr">
        <is>
          <t>PELOSO GIORGIO</t>
        </is>
      </c>
      <c r="C13" s="4" t="inlineStr">
        <is>
          <t>Operaio Linea 1 notte</t>
        </is>
      </c>
      <c r="D13" s="4" t="inlineStr">
        <is>
          <t>LINEA 1</t>
        </is>
      </c>
      <c r="E13" s="4" t="inlineStr">
        <is>
          <t>5</t>
        </is>
      </c>
      <c r="F13" s="5" t="n">
        <v>10.64</v>
      </c>
      <c r="G13" s="4" t="n">
        <v>160</v>
      </c>
      <c r="H13" s="4" t="n">
        <v>0</v>
      </c>
      <c r="I13" s="4" t="n">
        <v>0</v>
      </c>
      <c r="J13" s="4" t="n">
        <v>0</v>
      </c>
      <c r="K13" s="4" t="n">
        <v>0</v>
      </c>
      <c r="L13" s="5">
        <f>ROUND(F13*G13+F13*1.30*H13+F13*1.55*I13+F13*1.65*J13,2)</f>
        <v/>
      </c>
      <c r="M13" s="5">
        <f>ROUND(L13*0.0919,2)</f>
        <v/>
      </c>
      <c r="N13" s="5">
        <f>ROUND(L13-M13,2)</f>
        <v/>
      </c>
      <c r="O13" s="5">
        <f>ROUND(N13*0.2280,2)</f>
        <v/>
      </c>
      <c r="P13" s="5">
        <f>ROUND(N13-O13,2)</f>
        <v/>
      </c>
      <c r="Q13" s="4" t="inlineStr"/>
    </row>
    <row r="14">
      <c r="A14" s="4" t="inlineStr">
        <is>
          <t>0210</t>
        </is>
      </c>
      <c r="B14" s="4" t="inlineStr">
        <is>
          <t>MUNTEANU CRISTIAN</t>
        </is>
      </c>
      <c r="C14" s="4" t="inlineStr">
        <is>
          <t>Operaio Linea 1 notte</t>
        </is>
      </c>
      <c r="D14" s="4" t="inlineStr">
        <is>
          <t>LINEA 1</t>
        </is>
      </c>
      <c r="E14" s="4" t="inlineStr">
        <is>
          <t>6</t>
        </is>
      </c>
      <c r="F14" s="5" t="n">
        <v>10.11</v>
      </c>
      <c r="G14" s="4" t="n">
        <v>160</v>
      </c>
      <c r="H14" s="4" t="n">
        <v>12</v>
      </c>
      <c r="I14" s="4" t="n">
        <v>0</v>
      </c>
      <c r="J14" s="4" t="n">
        <v>0</v>
      </c>
      <c r="K14" s="4" t="n">
        <v>0</v>
      </c>
      <c r="L14" s="5">
        <f>ROUND(F14*G14+F14*1.30*H14+F14*1.55*I14+F14*1.65*J14,2)</f>
        <v/>
      </c>
      <c r="M14" s="5">
        <f>ROUND(L14*0.0919,2)</f>
        <v/>
      </c>
      <c r="N14" s="5">
        <f>ROUND(L14-M14,2)</f>
        <v/>
      </c>
      <c r="O14" s="5">
        <f>ROUND(N14*0.2280,2)</f>
        <v/>
      </c>
      <c r="P14" s="5">
        <f>ROUND(N14-O14,2)</f>
        <v/>
      </c>
      <c r="Q14" s="4" t="inlineStr"/>
    </row>
    <row r="15">
      <c r="A15" s="4" t="inlineStr">
        <is>
          <t>0301</t>
        </is>
      </c>
      <c r="B15" s="4" t="inlineStr">
        <is>
          <t>BEN SALAH ADEL</t>
        </is>
      </c>
      <c r="C15" s="4" t="inlineStr">
        <is>
          <t>Capoturno Linea 2</t>
        </is>
      </c>
      <c r="D15" s="4" t="inlineStr">
        <is>
          <t>LINEA 2</t>
        </is>
      </c>
      <c r="E15" s="4" t="inlineStr">
        <is>
          <t>4</t>
        </is>
      </c>
      <c r="F15" s="5" t="n">
        <v>11.82</v>
      </c>
      <c r="G15" s="4" t="n">
        <v>160</v>
      </c>
      <c r="H15" s="4" t="n">
        <v>0</v>
      </c>
      <c r="I15" s="4" t="n">
        <v>0</v>
      </c>
      <c r="J15" s="4" t="n">
        <v>16</v>
      </c>
      <c r="K15" s="4" t="n">
        <v>0</v>
      </c>
      <c r="L15" s="5">
        <f>ROUND(F15*G15+F15*1.30*H15+F15*1.55*I15+F15*1.65*J15,2)</f>
        <v/>
      </c>
      <c r="M15" s="5">
        <f>ROUND(L15*0.0919,2)</f>
        <v/>
      </c>
      <c r="N15" s="5">
        <f>ROUND(L15-M15,2)</f>
        <v/>
      </c>
      <c r="O15" s="5">
        <f>ROUND(N15*0.2280,2)</f>
        <v/>
      </c>
      <c r="P15" s="5">
        <f>ROUND(N15-O15,2)</f>
        <v/>
      </c>
      <c r="Q15" s="4" t="inlineStr"/>
    </row>
    <row r="16">
      <c r="A16" s="4" t="inlineStr">
        <is>
          <t>0302</t>
        </is>
      </c>
      <c r="B16" s="4" t="inlineStr">
        <is>
          <t>HOXHA FATJON</t>
        </is>
      </c>
      <c r="C16" s="4" t="inlineStr">
        <is>
          <t>Operaio Linea 2</t>
        </is>
      </c>
      <c r="D16" s="4" t="inlineStr">
        <is>
          <t>LINEA 2</t>
        </is>
      </c>
      <c r="E16" s="4" t="inlineStr">
        <is>
          <t>6</t>
        </is>
      </c>
      <c r="F16" s="5" t="n">
        <v>10.11</v>
      </c>
      <c r="G16" s="4" t="n">
        <v>160</v>
      </c>
      <c r="H16" s="4" t="n">
        <v>0</v>
      </c>
      <c r="I16" s="4" t="n">
        <v>0</v>
      </c>
      <c r="J16" s="4" t="n">
        <v>16</v>
      </c>
      <c r="K16" s="4" t="n">
        <v>0</v>
      </c>
      <c r="L16" s="5">
        <f>ROUND(F16*G16+F16*1.30*H16+F16*1.55*I16+F16*1.65*J16,2)</f>
        <v/>
      </c>
      <c r="M16" s="5">
        <f>ROUND(L16*0.0919,2)</f>
        <v/>
      </c>
      <c r="N16" s="5">
        <f>ROUND(L16-M16,2)</f>
        <v/>
      </c>
      <c r="O16" s="5">
        <f>ROUND(N16*0.2280,2)</f>
        <v/>
      </c>
      <c r="P16" s="5">
        <f>ROUND(N16-O16,2)</f>
        <v/>
      </c>
      <c r="Q16" s="4" t="inlineStr"/>
    </row>
    <row r="17">
      <c r="A17" s="4" t="inlineStr">
        <is>
          <t>0303</t>
        </is>
      </c>
      <c r="B17" s="4" t="inlineStr">
        <is>
          <t>MANSOURI YOUSSEF</t>
        </is>
      </c>
      <c r="C17" s="4" t="inlineStr">
        <is>
          <t>Operaio Linea 2</t>
        </is>
      </c>
      <c r="D17" s="4" t="inlineStr">
        <is>
          <t>LINEA 2</t>
        </is>
      </c>
      <c r="E17" s="4" t="inlineStr">
        <is>
          <t>6</t>
        </is>
      </c>
      <c r="F17" s="5" t="n">
        <v>10.11</v>
      </c>
      <c r="G17" s="4" t="n">
        <v>160</v>
      </c>
      <c r="H17" s="4" t="n">
        <v>6</v>
      </c>
      <c r="I17" s="4" t="n">
        <v>0</v>
      </c>
      <c r="J17" s="4" t="n">
        <v>16</v>
      </c>
      <c r="K17" s="4" t="n">
        <v>0</v>
      </c>
      <c r="L17" s="5">
        <f>ROUND(F17*G17+F17*1.30*H17+F17*1.55*I17+F17*1.65*J17,2)</f>
        <v/>
      </c>
      <c r="M17" s="5">
        <f>ROUND(L17*0.0919,2)</f>
        <v/>
      </c>
      <c r="N17" s="5">
        <f>ROUND(L17-M17,2)</f>
        <v/>
      </c>
      <c r="O17" s="5">
        <f>ROUND(N17*0.2280,2)</f>
        <v/>
      </c>
      <c r="P17" s="5">
        <f>ROUND(N17-O17,2)</f>
        <v/>
      </c>
      <c r="Q17" s="4" t="inlineStr"/>
    </row>
    <row r="18">
      <c r="A18" s="4" t="inlineStr">
        <is>
          <t>0304</t>
        </is>
      </c>
      <c r="B18" s="4" t="inlineStr">
        <is>
          <t>DAL BEN ELISA</t>
        </is>
      </c>
      <c r="C18" s="4" t="inlineStr">
        <is>
          <t>Operaia Linea 2</t>
        </is>
      </c>
      <c r="D18" s="4" t="inlineStr">
        <is>
          <t>LINEA 2</t>
        </is>
      </c>
      <c r="E18" s="4" t="inlineStr">
        <is>
          <t>5</t>
        </is>
      </c>
      <c r="F18" s="5" t="n">
        <v>10.64</v>
      </c>
      <c r="G18" s="4" t="n">
        <v>160</v>
      </c>
      <c r="H18" s="4" t="n">
        <v>6</v>
      </c>
      <c r="I18" s="4" t="n">
        <v>0</v>
      </c>
      <c r="J18" s="4" t="n">
        <v>16</v>
      </c>
      <c r="K18" s="4" t="n">
        <v>0</v>
      </c>
      <c r="L18" s="5">
        <f>ROUND(F18*G18+F18*1.30*H18+F18*1.55*I18+F18*1.65*J18,2)</f>
        <v/>
      </c>
      <c r="M18" s="5">
        <f>ROUND(L18*0.0919,2)</f>
        <v/>
      </c>
      <c r="N18" s="5">
        <f>ROUND(L18-M18,2)</f>
        <v/>
      </c>
      <c r="O18" s="5">
        <f>ROUND(N18*0.2280,2)</f>
        <v/>
      </c>
      <c r="P18" s="5">
        <f>ROUND(N18-O18,2)</f>
        <v/>
      </c>
      <c r="Q18" s="4" t="inlineStr"/>
    </row>
    <row r="19">
      <c r="A19" s="4" t="inlineStr">
        <is>
          <t>0305</t>
        </is>
      </c>
      <c r="B19" s="4" t="inlineStr">
        <is>
          <t>CIOBANU MARIUS</t>
        </is>
      </c>
      <c r="C19" s="4" t="inlineStr">
        <is>
          <t>Operaio Linea 2</t>
        </is>
      </c>
      <c r="D19" s="4" t="inlineStr">
        <is>
          <t>LINEA 2</t>
        </is>
      </c>
      <c r="E19" s="4" t="inlineStr">
        <is>
          <t>6</t>
        </is>
      </c>
      <c r="F19" s="5" t="n">
        <v>10.11</v>
      </c>
      <c r="G19" s="4" t="n">
        <v>160</v>
      </c>
      <c r="H19" s="4" t="n">
        <v>2</v>
      </c>
      <c r="I19" s="4" t="n">
        <v>0</v>
      </c>
      <c r="J19" s="4" t="n">
        <v>16</v>
      </c>
      <c r="K19" s="4" t="n">
        <v>0</v>
      </c>
      <c r="L19" s="5">
        <f>ROUND(F19*G19+F19*1.30*H19+F19*1.55*I19+F19*1.65*J19,2)</f>
        <v/>
      </c>
      <c r="M19" s="5">
        <f>ROUND(L19*0.0919,2)</f>
        <v/>
      </c>
      <c r="N19" s="5">
        <f>ROUND(L19-M19,2)</f>
        <v/>
      </c>
      <c r="O19" s="5">
        <f>ROUND(N19*0.2280,2)</f>
        <v/>
      </c>
      <c r="P19" s="5">
        <f>ROUND(N19-O19,2)</f>
        <v/>
      </c>
      <c r="Q19" s="4" t="inlineStr"/>
    </row>
    <row r="20">
      <c r="A20" s="4" t="inlineStr">
        <is>
          <t>0306</t>
        </is>
      </c>
      <c r="B20" s="4" t="inlineStr">
        <is>
          <t>BERTACCO PAOLO</t>
        </is>
      </c>
      <c r="C20" s="4" t="inlineStr">
        <is>
          <t>Operaio Linea 2 / RLS</t>
        </is>
      </c>
      <c r="D20" s="4" t="inlineStr">
        <is>
          <t>LINEA 2</t>
        </is>
      </c>
      <c r="E20" s="4" t="inlineStr">
        <is>
          <t>5</t>
        </is>
      </c>
      <c r="F20" s="5" t="n">
        <v>10.64</v>
      </c>
      <c r="G20" s="4" t="n">
        <v>160</v>
      </c>
      <c r="H20" s="4" t="n">
        <v>4</v>
      </c>
      <c r="I20" s="4" t="n">
        <v>0</v>
      </c>
      <c r="J20" s="4" t="n">
        <v>16</v>
      </c>
      <c r="K20" s="4" t="n">
        <v>0</v>
      </c>
      <c r="L20" s="5">
        <f>ROUND(F20*G20+F20*1.30*H20+F20*1.55*I20+F20*1.65*J20,2)</f>
        <v/>
      </c>
      <c r="M20" s="5">
        <f>ROUND(L20*0.0919,2)</f>
        <v/>
      </c>
      <c r="N20" s="5">
        <f>ROUND(L20-M20,2)</f>
        <v/>
      </c>
      <c r="O20" s="5">
        <f>ROUND(N20*0.2280,2)</f>
        <v/>
      </c>
      <c r="P20" s="5">
        <f>ROUND(N20-O20,2)</f>
        <v/>
      </c>
      <c r="Q20" s="4" t="inlineStr"/>
    </row>
    <row r="21">
      <c r="A21" s="4" t="inlineStr">
        <is>
          <t>0307</t>
        </is>
      </c>
      <c r="B21" s="4" t="inlineStr">
        <is>
          <t>REFOSCO SONIA</t>
        </is>
      </c>
      <c r="C21" s="4" t="inlineStr">
        <is>
          <t>Operaia Linea 2</t>
        </is>
      </c>
      <c r="D21" s="4" t="inlineStr">
        <is>
          <t>LINEA 2</t>
        </is>
      </c>
      <c r="E21" s="4" t="inlineStr">
        <is>
          <t>6</t>
        </is>
      </c>
      <c r="F21" s="5" t="n">
        <v>10.11</v>
      </c>
      <c r="G21" s="4" t="n">
        <v>160</v>
      </c>
      <c r="H21" s="4" t="n">
        <v>0</v>
      </c>
      <c r="I21" s="4" t="n">
        <v>0</v>
      </c>
      <c r="J21" s="4" t="n">
        <v>16</v>
      </c>
      <c r="K21" s="4" t="n">
        <v>0</v>
      </c>
      <c r="L21" s="5">
        <f>ROUND(F21*G21+F21*1.30*H21+F21*1.55*I21+F21*1.65*J21,2)</f>
        <v/>
      </c>
      <c r="M21" s="5">
        <f>ROUND(L21*0.0919,2)</f>
        <v/>
      </c>
      <c r="N21" s="5">
        <f>ROUND(L21-M21,2)</f>
        <v/>
      </c>
      <c r="O21" s="5">
        <f>ROUND(N21*0.2280,2)</f>
        <v/>
      </c>
      <c r="P21" s="5">
        <f>ROUND(N21-O21,2)</f>
        <v/>
      </c>
      <c r="Q21" s="4" t="inlineStr"/>
    </row>
    <row r="22">
      <c r="A22" s="4" t="inlineStr">
        <is>
          <t>0308</t>
        </is>
      </c>
      <c r="B22" s="4" t="inlineStr">
        <is>
          <t>SOW IBRAHIM</t>
        </is>
      </c>
      <c r="C22" s="4" t="inlineStr">
        <is>
          <t>Operaio Linea 2</t>
        </is>
      </c>
      <c r="D22" s="4" t="inlineStr">
        <is>
          <t>LINEA 2</t>
        </is>
      </c>
      <c r="E22" s="4" t="inlineStr">
        <is>
          <t>6</t>
        </is>
      </c>
      <c r="F22" s="5" t="n">
        <v>10.11</v>
      </c>
      <c r="G22" s="4" t="n">
        <v>160</v>
      </c>
      <c r="H22" s="4" t="n">
        <v>10</v>
      </c>
      <c r="I22" s="4" t="n">
        <v>0</v>
      </c>
      <c r="J22" s="4" t="n">
        <v>16</v>
      </c>
      <c r="K22" s="4" t="n">
        <v>0</v>
      </c>
      <c r="L22" s="5">
        <f>ROUND(F22*G22+F22*1.30*H22+F22*1.55*I22+F22*1.65*J22,2)</f>
        <v/>
      </c>
      <c r="M22" s="5">
        <f>ROUND(L22*0.0919,2)</f>
        <v/>
      </c>
      <c r="N22" s="5">
        <f>ROUND(L22-M22,2)</f>
        <v/>
      </c>
      <c r="O22" s="5">
        <f>ROUND(N22*0.2280,2)</f>
        <v/>
      </c>
      <c r="P22" s="5">
        <f>ROUND(N22-O22,2)</f>
        <v/>
      </c>
      <c r="Q22" s="4" t="inlineStr"/>
    </row>
    <row r="23">
      <c r="A23" s="4" t="inlineStr">
        <is>
          <t>0309</t>
        </is>
      </c>
      <c r="B23" s="4" t="inlineStr">
        <is>
          <t>GECCHELE NICOLO</t>
        </is>
      </c>
      <c r="C23" s="4" t="inlineStr">
        <is>
          <t>Operaio Linea 2</t>
        </is>
      </c>
      <c r="D23" s="4" t="inlineStr">
        <is>
          <t>LINEA 2</t>
        </is>
      </c>
      <c r="E23" s="4" t="inlineStr">
        <is>
          <t>5</t>
        </is>
      </c>
      <c r="F23" s="5" t="n">
        <v>10.64</v>
      </c>
      <c r="G23" s="4" t="n">
        <v>160</v>
      </c>
      <c r="H23" s="4" t="n">
        <v>6</v>
      </c>
      <c r="I23" s="4" t="n">
        <v>0</v>
      </c>
      <c r="J23" s="4" t="n">
        <v>16</v>
      </c>
      <c r="K23" s="4" t="n">
        <v>0</v>
      </c>
      <c r="L23" s="5">
        <f>ROUND(F23*G23+F23*1.30*H23+F23*1.55*I23+F23*1.65*J23,2)</f>
        <v/>
      </c>
      <c r="M23" s="5">
        <f>ROUND(L23*0.0919,2)</f>
        <v/>
      </c>
      <c r="N23" s="5">
        <f>ROUND(L23-M23,2)</f>
        <v/>
      </c>
      <c r="O23" s="5">
        <f>ROUND(N23*0.2280,2)</f>
        <v/>
      </c>
      <c r="P23" s="5">
        <f>ROUND(N23-O23,2)</f>
        <v/>
      </c>
      <c r="Q23" s="4" t="inlineStr"/>
    </row>
    <row r="24">
      <c r="A24" s="4" t="inlineStr">
        <is>
          <t>0310</t>
        </is>
      </c>
      <c r="B24" s="4" t="inlineStr">
        <is>
          <t>LUPU VASILE</t>
        </is>
      </c>
      <c r="C24" s="4" t="inlineStr">
        <is>
          <t>Operaio Linea 2</t>
        </is>
      </c>
      <c r="D24" s="4" t="inlineStr">
        <is>
          <t>LINEA 2</t>
        </is>
      </c>
      <c r="E24" s="4" t="inlineStr">
        <is>
          <t>6</t>
        </is>
      </c>
      <c r="F24" s="5" t="n">
        <v>10.11</v>
      </c>
      <c r="G24" s="4" t="n">
        <v>160</v>
      </c>
      <c r="H24" s="4" t="n">
        <v>0</v>
      </c>
      <c r="I24" s="4" t="n">
        <v>0</v>
      </c>
      <c r="J24" s="4" t="n">
        <v>16</v>
      </c>
      <c r="K24" s="4" t="n">
        <v>0</v>
      </c>
      <c r="L24" s="5">
        <f>ROUND(F24*G24+F24*1.30*H24+F24*1.55*I24+F24*1.65*J24,2)</f>
        <v/>
      </c>
      <c r="M24" s="5">
        <f>ROUND(L24*0.0919,2)</f>
        <v/>
      </c>
      <c r="N24" s="5">
        <f>ROUND(L24-M24,2)</f>
        <v/>
      </c>
      <c r="O24" s="5">
        <f>ROUND(N24*0.2280,2)</f>
        <v/>
      </c>
      <c r="P24" s="5">
        <f>ROUND(N24-O24,2)</f>
        <v/>
      </c>
      <c r="Q24" s="4" t="inlineStr"/>
    </row>
    <row r="25">
      <c r="A25" s="4" t="inlineStr">
        <is>
          <t>0401</t>
        </is>
      </c>
      <c r="B25" s="4" t="inlineStr">
        <is>
          <t>GUERRA ROBERTO</t>
        </is>
      </c>
      <c r="C25" s="4" t="inlineStr">
        <is>
          <t>Capoturno Linea 3</t>
        </is>
      </c>
      <c r="D25" s="4" t="inlineStr">
        <is>
          <t>LINEA 3</t>
        </is>
      </c>
      <c r="E25" s="4" t="inlineStr">
        <is>
          <t>4</t>
        </is>
      </c>
      <c r="F25" s="5" t="n">
        <v>11.82</v>
      </c>
      <c r="G25" s="4" t="n">
        <v>160</v>
      </c>
      <c r="H25" s="4" t="n">
        <v>10</v>
      </c>
      <c r="I25" s="4" t="n">
        <v>0</v>
      </c>
      <c r="J25" s="4" t="n">
        <v>0</v>
      </c>
      <c r="K25" s="4" t="n">
        <v>0</v>
      </c>
      <c r="L25" s="5">
        <f>ROUND(F25*G25+F25*1.30*H25+F25*1.55*I25+F25*1.65*J25,2)</f>
        <v/>
      </c>
      <c r="M25" s="5">
        <f>ROUND(L25*0.0919,2)</f>
        <v/>
      </c>
      <c r="N25" s="5">
        <f>ROUND(L25-M25,2)</f>
        <v/>
      </c>
      <c r="O25" s="5">
        <f>ROUND(N25*0.2280,2)</f>
        <v/>
      </c>
      <c r="P25" s="5">
        <f>ROUND(N25-O25,2)</f>
        <v/>
      </c>
      <c r="Q25" s="4" t="inlineStr"/>
    </row>
    <row r="26">
      <c r="A26" s="4" t="inlineStr">
        <is>
          <t>0402</t>
        </is>
      </c>
      <c r="B26" s="4" t="inlineStr">
        <is>
          <t>CORRADIN EMANUELE</t>
        </is>
      </c>
      <c r="C26" s="4" t="inlineStr">
        <is>
          <t>Operaio Linea 3</t>
        </is>
      </c>
      <c r="D26" s="4" t="inlineStr">
        <is>
          <t>LINEA 3</t>
        </is>
      </c>
      <c r="E26" s="4" t="inlineStr">
        <is>
          <t>5</t>
        </is>
      </c>
      <c r="F26" s="5" t="n">
        <v>10.64</v>
      </c>
      <c r="G26" s="4" t="n">
        <v>120</v>
      </c>
      <c r="H26" s="4" t="n">
        <v>6</v>
      </c>
      <c r="I26" s="4" t="n">
        <v>0</v>
      </c>
      <c r="J26" s="4" t="n">
        <v>0</v>
      </c>
      <c r="K26" s="4" t="n">
        <v>40</v>
      </c>
      <c r="L26" s="5">
        <f>ROUND(F26*G26+F26*1.30*H26+F26*1.55*I26+F26*1.65*J26,2)</f>
        <v/>
      </c>
      <c r="M26" s="5">
        <f>ROUND(L26*0.0919,2)</f>
        <v/>
      </c>
      <c r="N26" s="5">
        <f>ROUND(L26-M26,2)</f>
        <v/>
      </c>
      <c r="O26" s="5">
        <f>ROUND(N26*0.2280,2)</f>
        <v/>
      </c>
      <c r="P26" s="5">
        <f>ROUND(N26-O26,2)</f>
        <v/>
      </c>
      <c r="Q26" s="6" t="inlineStr">
        <is>
          <t>infortunio 28/04 - assente 04-08/05, rientro 11/05 (pratica INAIL)</t>
        </is>
      </c>
    </row>
    <row r="27">
      <c r="A27" s="4" t="inlineStr">
        <is>
          <t>0403</t>
        </is>
      </c>
      <c r="B27" s="4" t="inlineStr">
        <is>
          <t>ILIE PETRU</t>
        </is>
      </c>
      <c r="C27" s="4" t="inlineStr">
        <is>
          <t>Operaio Linea 3</t>
        </is>
      </c>
      <c r="D27" s="4" t="inlineStr">
        <is>
          <t>LINEA 3</t>
        </is>
      </c>
      <c r="E27" s="4" t="inlineStr">
        <is>
          <t>6</t>
        </is>
      </c>
      <c r="F27" s="5" t="n">
        <v>10.11</v>
      </c>
      <c r="G27" s="4" t="n">
        <v>160</v>
      </c>
      <c r="H27" s="4" t="n">
        <v>6</v>
      </c>
      <c r="I27" s="4" t="n">
        <v>0</v>
      </c>
      <c r="J27" s="4" t="n">
        <v>0</v>
      </c>
      <c r="K27" s="4" t="n">
        <v>0</v>
      </c>
      <c r="L27" s="5">
        <f>ROUND(F27*G27+F27*1.30*H27+F27*1.55*I27+F27*1.65*J27,2)</f>
        <v/>
      </c>
      <c r="M27" s="5">
        <f>ROUND(L27*0.0919,2)</f>
        <v/>
      </c>
      <c r="N27" s="5">
        <f>ROUND(L27-M27,2)</f>
        <v/>
      </c>
      <c r="O27" s="5">
        <f>ROUND(N27*0.2280,2)</f>
        <v/>
      </c>
      <c r="P27" s="5">
        <f>ROUND(N27-O27,2)</f>
        <v/>
      </c>
      <c r="Q27" s="4" t="inlineStr"/>
    </row>
    <row r="28">
      <c r="A28" s="4" t="inlineStr">
        <is>
          <t>0404</t>
        </is>
      </c>
      <c r="B28" s="4" t="inlineStr">
        <is>
          <t>MIOTTO SARA</t>
        </is>
      </c>
      <c r="C28" s="4" t="inlineStr">
        <is>
          <t>Operaia Linea 3</t>
        </is>
      </c>
      <c r="D28" s="4" t="inlineStr">
        <is>
          <t>LINEA 3</t>
        </is>
      </c>
      <c r="E28" s="4" t="inlineStr">
        <is>
          <t>6</t>
        </is>
      </c>
      <c r="F28" s="5" t="n">
        <v>10.11</v>
      </c>
      <c r="G28" s="4" t="n">
        <v>160</v>
      </c>
      <c r="H28" s="4" t="n">
        <v>6</v>
      </c>
      <c r="I28" s="4" t="n">
        <v>0</v>
      </c>
      <c r="J28" s="4" t="n">
        <v>0</v>
      </c>
      <c r="K28" s="4" t="n">
        <v>0</v>
      </c>
      <c r="L28" s="5">
        <f>ROUND(F28*G28+F28*1.30*H28+F28*1.55*I28+F28*1.65*J28,2)</f>
        <v/>
      </c>
      <c r="M28" s="5">
        <f>ROUND(L28*0.0919,2)</f>
        <v/>
      </c>
      <c r="N28" s="5">
        <f>ROUND(L28-M28,2)</f>
        <v/>
      </c>
      <c r="O28" s="5">
        <f>ROUND(N28*0.2280,2)</f>
        <v/>
      </c>
      <c r="P28" s="5">
        <f>ROUND(N28-O28,2)</f>
        <v/>
      </c>
      <c r="Q28" s="4" t="inlineStr"/>
    </row>
    <row r="29">
      <c r="A29" s="4" t="inlineStr">
        <is>
          <t>0405</t>
        </is>
      </c>
      <c r="B29" s="4" t="inlineStr">
        <is>
          <t>BOUZID KARIM</t>
        </is>
      </c>
      <c r="C29" s="4" t="inlineStr">
        <is>
          <t>Operaio Linea 3</t>
        </is>
      </c>
      <c r="D29" s="4" t="inlineStr">
        <is>
          <t>LINEA 3</t>
        </is>
      </c>
      <c r="E29" s="4" t="inlineStr">
        <is>
          <t>6</t>
        </is>
      </c>
      <c r="F29" s="5" t="n">
        <v>10.11</v>
      </c>
      <c r="G29" s="4" t="n">
        <v>160</v>
      </c>
      <c r="H29" s="4" t="n">
        <v>4</v>
      </c>
      <c r="I29" s="4" t="n">
        <v>0</v>
      </c>
      <c r="J29" s="4" t="n">
        <v>0</v>
      </c>
      <c r="K29" s="4" t="n">
        <v>0</v>
      </c>
      <c r="L29" s="5">
        <f>ROUND(F29*G29+F29*1.30*H29+F29*1.55*I29+F29*1.65*J29,2)</f>
        <v/>
      </c>
      <c r="M29" s="5">
        <f>ROUND(L29*0.0919,2)</f>
        <v/>
      </c>
      <c r="N29" s="5">
        <f>ROUND(L29-M29,2)</f>
        <v/>
      </c>
      <c r="O29" s="5">
        <f>ROUND(N29*0.2280,2)</f>
        <v/>
      </c>
      <c r="P29" s="5">
        <f>ROUND(N29-O29,2)</f>
        <v/>
      </c>
      <c r="Q29" s="4" t="inlineStr"/>
    </row>
    <row r="30">
      <c r="A30" s="4" t="inlineStr">
        <is>
          <t>0406</t>
        </is>
      </c>
      <c r="B30" s="4" t="inlineStr">
        <is>
          <t>TADIELLO FEDERICO</t>
        </is>
      </c>
      <c r="C30" s="4" t="inlineStr">
        <is>
          <t>Operaio Linea 3</t>
        </is>
      </c>
      <c r="D30" s="4" t="inlineStr">
        <is>
          <t>LINEA 3</t>
        </is>
      </c>
      <c r="E30" s="4" t="inlineStr">
        <is>
          <t>5</t>
        </is>
      </c>
      <c r="F30" s="5" t="n">
        <v>10.64</v>
      </c>
      <c r="G30" s="4" t="n">
        <v>160</v>
      </c>
      <c r="H30" s="4" t="n">
        <v>8</v>
      </c>
      <c r="I30" s="4" t="n">
        <v>0</v>
      </c>
      <c r="J30" s="4" t="n">
        <v>0</v>
      </c>
      <c r="K30" s="4" t="n">
        <v>0</v>
      </c>
      <c r="L30" s="5">
        <f>ROUND(F30*G30+F30*1.30*H30+F30*1.55*I30+F30*1.65*J30,2)</f>
        <v/>
      </c>
      <c r="M30" s="5">
        <f>ROUND(L30*0.0919,2)</f>
        <v/>
      </c>
      <c r="N30" s="5">
        <f>ROUND(L30-M30,2)</f>
        <v/>
      </c>
      <c r="O30" s="5">
        <f>ROUND(N30*0.2280,2)</f>
        <v/>
      </c>
      <c r="P30" s="5">
        <f>ROUND(N30-O30,2)</f>
        <v/>
      </c>
      <c r="Q30" s="4" t="inlineStr"/>
    </row>
    <row r="31">
      <c r="A31" s="4" t="inlineStr">
        <is>
          <t>0407</t>
        </is>
      </c>
      <c r="B31" s="4" t="inlineStr">
        <is>
          <t>MELNYK OLEG</t>
        </is>
      </c>
      <c r="C31" s="4" t="inlineStr">
        <is>
          <t>Operaio Linea 3</t>
        </is>
      </c>
      <c r="D31" s="4" t="inlineStr">
        <is>
          <t>LINEA 3</t>
        </is>
      </c>
      <c r="E31" s="4" t="inlineStr">
        <is>
          <t>6</t>
        </is>
      </c>
      <c r="F31" s="5" t="n">
        <v>10.11</v>
      </c>
      <c r="G31" s="4" t="n">
        <v>160</v>
      </c>
      <c r="H31" s="4" t="n">
        <v>2</v>
      </c>
      <c r="I31" s="4" t="n">
        <v>0</v>
      </c>
      <c r="J31" s="4" t="n">
        <v>0</v>
      </c>
      <c r="K31" s="4" t="n">
        <v>0</v>
      </c>
      <c r="L31" s="5">
        <f>ROUND(F31*G31+F31*1.30*H31+F31*1.55*I31+F31*1.65*J31,2)</f>
        <v/>
      </c>
      <c r="M31" s="5">
        <f>ROUND(L31*0.0919,2)</f>
        <v/>
      </c>
      <c r="N31" s="5">
        <f>ROUND(L31-M31,2)</f>
        <v/>
      </c>
      <c r="O31" s="5">
        <f>ROUND(N31*0.2280,2)</f>
        <v/>
      </c>
      <c r="P31" s="5">
        <f>ROUND(N31-O31,2)</f>
        <v/>
      </c>
      <c r="Q31" s="4" t="inlineStr"/>
    </row>
    <row r="32">
      <c r="A32" s="4" t="inlineStr">
        <is>
          <t>0408</t>
        </is>
      </c>
      <c r="B32" s="4" t="inlineStr">
        <is>
          <t>SBALCHIERO DAMIANO</t>
        </is>
      </c>
      <c r="C32" s="4" t="inlineStr">
        <is>
          <t>Operaio Linea 3 notte</t>
        </is>
      </c>
      <c r="D32" s="4" t="inlineStr">
        <is>
          <t>LINEA 3</t>
        </is>
      </c>
      <c r="E32" s="4" t="inlineStr">
        <is>
          <t>5</t>
        </is>
      </c>
      <c r="F32" s="5" t="n">
        <v>10.64</v>
      </c>
      <c r="G32" s="4" t="n">
        <v>160</v>
      </c>
      <c r="H32" s="4" t="n">
        <v>0</v>
      </c>
      <c r="I32" s="4" t="n">
        <v>8</v>
      </c>
      <c r="J32" s="4" t="n">
        <v>0</v>
      </c>
      <c r="K32" s="4" t="n">
        <v>0</v>
      </c>
      <c r="L32" s="5">
        <f>ROUND(F32*G32+F32*1.30*H32+F32*1.55*I32+F32*1.65*J32,2)</f>
        <v/>
      </c>
      <c r="M32" s="5">
        <f>ROUND(L32*0.0919,2)</f>
        <v/>
      </c>
      <c r="N32" s="5">
        <f>ROUND(L32-M32,2)</f>
        <v/>
      </c>
      <c r="O32" s="5">
        <f>ROUND(N32*0.2280,2)</f>
        <v/>
      </c>
      <c r="P32" s="5">
        <f>ROUND(N32-O32,2)</f>
        <v/>
      </c>
      <c r="Q32" s="4" t="inlineStr"/>
    </row>
    <row r="33">
      <c r="A33" s="4" t="inlineStr">
        <is>
          <t>0501</t>
        </is>
      </c>
      <c r="B33" s="4" t="inlineStr">
        <is>
          <t>MAROBIN ANNA</t>
        </is>
      </c>
      <c r="C33" s="4" t="inlineStr">
        <is>
          <t>Operaia confezionamento</t>
        </is>
      </c>
      <c r="D33" s="4" t="inlineStr">
        <is>
          <t>CONFEZ.</t>
        </is>
      </c>
      <c r="E33" s="4" t="inlineStr">
        <is>
          <t>6</t>
        </is>
      </c>
      <c r="F33" s="5" t="n">
        <v>10.11</v>
      </c>
      <c r="G33" s="4" t="n">
        <v>160</v>
      </c>
      <c r="H33" s="4" t="n">
        <v>4</v>
      </c>
      <c r="I33" s="4" t="n">
        <v>0</v>
      </c>
      <c r="J33" s="4" t="n">
        <v>0</v>
      </c>
      <c r="K33" s="4" t="n">
        <v>0</v>
      </c>
      <c r="L33" s="5">
        <f>ROUND(F33*G33+F33*1.30*H33+F33*1.55*I33+F33*1.65*J33,2)</f>
        <v/>
      </c>
      <c r="M33" s="5">
        <f>ROUND(L33*0.0919,2)</f>
        <v/>
      </c>
      <c r="N33" s="5">
        <f>ROUND(L33-M33,2)</f>
        <v/>
      </c>
      <c r="O33" s="5">
        <f>ROUND(N33*0.2280,2)</f>
        <v/>
      </c>
      <c r="P33" s="5">
        <f>ROUND(N33-O33,2)</f>
        <v/>
      </c>
      <c r="Q33" s="4" t="inlineStr"/>
    </row>
    <row r="34">
      <c r="A34" s="4" t="inlineStr">
        <is>
          <t>0502</t>
        </is>
      </c>
      <c r="B34" s="4" t="inlineStr">
        <is>
          <t>PERETTO CHIARA</t>
        </is>
      </c>
      <c r="C34" s="4" t="inlineStr">
        <is>
          <t>Operaia confezionamento</t>
        </is>
      </c>
      <c r="D34" s="4" t="inlineStr">
        <is>
          <t>CONFEZ.</t>
        </is>
      </c>
      <c r="E34" s="4" t="inlineStr">
        <is>
          <t>6</t>
        </is>
      </c>
      <c r="F34" s="5" t="n">
        <v>10.11</v>
      </c>
      <c r="G34" s="4" t="n">
        <v>160</v>
      </c>
      <c r="H34" s="4" t="n">
        <v>4</v>
      </c>
      <c r="I34" s="4" t="n">
        <v>0</v>
      </c>
      <c r="J34" s="4" t="n">
        <v>0</v>
      </c>
      <c r="K34" s="4" t="n">
        <v>0</v>
      </c>
      <c r="L34" s="5">
        <f>ROUND(F34*G34+F34*1.30*H34+F34*1.55*I34+F34*1.65*J34,2)</f>
        <v/>
      </c>
      <c r="M34" s="5">
        <f>ROUND(L34*0.0919,2)</f>
        <v/>
      </c>
      <c r="N34" s="5">
        <f>ROUND(L34-M34,2)</f>
        <v/>
      </c>
      <c r="O34" s="5">
        <f>ROUND(N34*0.2280,2)</f>
        <v/>
      </c>
      <c r="P34" s="5">
        <f>ROUND(N34-O34,2)</f>
        <v/>
      </c>
      <c r="Q34" s="4" t="inlineStr"/>
    </row>
    <row r="35">
      <c r="A35" s="4" t="inlineStr">
        <is>
          <t>0503</t>
        </is>
      </c>
      <c r="B35" s="4" t="inlineStr">
        <is>
          <t>BA MAMADOU</t>
        </is>
      </c>
      <c r="C35" s="4" t="inlineStr">
        <is>
          <t>Operaio confezionamento</t>
        </is>
      </c>
      <c r="D35" s="4" t="inlineStr">
        <is>
          <t>CONFEZ.</t>
        </is>
      </c>
      <c r="E35" s="4" t="inlineStr">
        <is>
          <t>6</t>
        </is>
      </c>
      <c r="F35" s="5" t="n">
        <v>10.11</v>
      </c>
      <c r="G35" s="4" t="n">
        <v>160</v>
      </c>
      <c r="H35" s="4" t="n">
        <v>4</v>
      </c>
      <c r="I35" s="4" t="n">
        <v>0</v>
      </c>
      <c r="J35" s="4" t="n">
        <v>0</v>
      </c>
      <c r="K35" s="4" t="n">
        <v>0</v>
      </c>
      <c r="L35" s="5">
        <f>ROUND(F35*G35+F35*1.30*H35+F35*1.55*I35+F35*1.65*J35,2)</f>
        <v/>
      </c>
      <c r="M35" s="5">
        <f>ROUND(L35*0.0919,2)</f>
        <v/>
      </c>
      <c r="N35" s="5">
        <f>ROUND(L35-M35,2)</f>
        <v/>
      </c>
      <c r="O35" s="5">
        <f>ROUND(N35*0.2280,2)</f>
        <v/>
      </c>
      <c r="P35" s="5">
        <f>ROUND(N35-O35,2)</f>
        <v/>
      </c>
      <c r="Q35" s="4" t="inlineStr"/>
    </row>
    <row r="36">
      <c r="A36" s="4" t="inlineStr">
        <is>
          <t>0504</t>
        </is>
      </c>
      <c r="B36" s="4" t="inlineStr">
        <is>
          <t>FRIGO LUCIA</t>
        </is>
      </c>
      <c r="C36" s="4" t="inlineStr">
        <is>
          <t>Operaia confezionamento</t>
        </is>
      </c>
      <c r="D36" s="4" t="inlineStr">
        <is>
          <t>CONFEZ.</t>
        </is>
      </c>
      <c r="E36" s="4" t="inlineStr">
        <is>
          <t>6</t>
        </is>
      </c>
      <c r="F36" s="5" t="n">
        <v>10.11</v>
      </c>
      <c r="G36" s="4" t="n">
        <v>160</v>
      </c>
      <c r="H36" s="4" t="n">
        <v>0</v>
      </c>
      <c r="I36" s="4" t="n">
        <v>0</v>
      </c>
      <c r="J36" s="4" t="n">
        <v>8</v>
      </c>
      <c r="K36" s="4" t="n">
        <v>0</v>
      </c>
      <c r="L36" s="5">
        <f>ROUND(F36*G36+F36*1.30*H36+F36*1.55*I36+F36*1.65*J36,2)</f>
        <v/>
      </c>
      <c r="M36" s="5">
        <f>ROUND(L36*0.0919,2)</f>
        <v/>
      </c>
      <c r="N36" s="5">
        <f>ROUND(L36-M36,2)</f>
        <v/>
      </c>
      <c r="O36" s="5">
        <f>ROUND(N36*0.2280,2)</f>
        <v/>
      </c>
      <c r="P36" s="5">
        <f>ROUND(N36-O36,2)</f>
        <v/>
      </c>
      <c r="Q36" s="4" t="inlineStr"/>
    </row>
    <row r="37">
      <c r="A37" s="4" t="inlineStr">
        <is>
          <t>0505</t>
        </is>
      </c>
      <c r="B37" s="4" t="inlineStr">
        <is>
          <t>VISENTIN STEFANO</t>
        </is>
      </c>
      <c r="C37" s="4" t="inlineStr">
        <is>
          <t>Operaio confezionamento</t>
        </is>
      </c>
      <c r="D37" s="4" t="inlineStr">
        <is>
          <t>CONFEZ.</t>
        </is>
      </c>
      <c r="E37" s="4" t="inlineStr">
        <is>
          <t>6</t>
        </is>
      </c>
      <c r="F37" s="5" t="n">
        <v>10.11</v>
      </c>
      <c r="G37" s="4" t="n">
        <v>160</v>
      </c>
      <c r="H37" s="4" t="n">
        <v>0</v>
      </c>
      <c r="I37" s="4" t="n">
        <v>0</v>
      </c>
      <c r="J37" s="4" t="n">
        <v>8</v>
      </c>
      <c r="K37" s="4" t="n">
        <v>0</v>
      </c>
      <c r="L37" s="5">
        <f>ROUND(F37*G37+F37*1.30*H37+F37*1.55*I37+F37*1.65*J37,2)</f>
        <v/>
      </c>
      <c r="M37" s="5">
        <f>ROUND(L37*0.0919,2)</f>
        <v/>
      </c>
      <c r="N37" s="5">
        <f>ROUND(L37-M37,2)</f>
        <v/>
      </c>
      <c r="O37" s="5">
        <f>ROUND(N37*0.2280,2)</f>
        <v/>
      </c>
      <c r="P37" s="5">
        <f>ROUND(N37-O37,2)</f>
        <v/>
      </c>
      <c r="Q37" s="4" t="inlineStr"/>
    </row>
    <row r="38">
      <c r="A38" s="4" t="inlineStr">
        <is>
          <t>0601</t>
        </is>
      </c>
      <c r="B38" s="4" t="inlineStr">
        <is>
          <t>FAGGIONATO NICOLA</t>
        </is>
      </c>
      <c r="C38" s="4" t="inlineStr">
        <is>
          <t>Resp. magazzino e spedizioni</t>
        </is>
      </c>
      <c r="D38" s="4" t="inlineStr">
        <is>
          <t>MAGAZZ.</t>
        </is>
      </c>
      <c r="E38" s="4" t="inlineStr">
        <is>
          <t>3</t>
        </is>
      </c>
      <c r="F38" s="5" t="n">
        <v>13.44</v>
      </c>
      <c r="G38" s="4" t="n">
        <v>160</v>
      </c>
      <c r="H38" s="4" t="n">
        <v>0</v>
      </c>
      <c r="I38" s="4" t="n">
        <v>0</v>
      </c>
      <c r="J38" s="4" t="n">
        <v>8</v>
      </c>
      <c r="K38" s="4" t="n">
        <v>0</v>
      </c>
      <c r="L38" s="5">
        <f>ROUND(F38*G38+F38*1.30*H38+F38*1.55*I38+F38*1.65*J38,2)</f>
        <v/>
      </c>
      <c r="M38" s="5">
        <f>ROUND(L38*0.0919,2)</f>
        <v/>
      </c>
      <c r="N38" s="5">
        <f>ROUND(L38-M38,2)</f>
        <v/>
      </c>
      <c r="O38" s="5">
        <f>ROUND(N38*0.2280,2)</f>
        <v/>
      </c>
      <c r="P38" s="5">
        <f>ROUND(N38-O38,2)</f>
        <v/>
      </c>
      <c r="Q38" s="4" t="inlineStr"/>
    </row>
    <row r="39">
      <c r="A39" s="4" t="inlineStr">
        <is>
          <t>0602</t>
        </is>
      </c>
      <c r="B39" s="4" t="inlineStr">
        <is>
          <t>SEGATO ALBERTO</t>
        </is>
      </c>
      <c r="C39" s="4" t="inlineStr">
        <is>
          <t>Magazziniere</t>
        </is>
      </c>
      <c r="D39" s="4" t="inlineStr">
        <is>
          <t>MAGAZZ.</t>
        </is>
      </c>
      <c r="E39" s="4" t="inlineStr">
        <is>
          <t>5</t>
        </is>
      </c>
      <c r="F39" s="5" t="n">
        <v>10.64</v>
      </c>
      <c r="G39" s="4" t="n">
        <v>160</v>
      </c>
      <c r="H39" s="4" t="n">
        <v>0</v>
      </c>
      <c r="I39" s="4" t="n">
        <v>0</v>
      </c>
      <c r="J39" s="4" t="n">
        <v>0</v>
      </c>
      <c r="K39" s="4" t="n">
        <v>0</v>
      </c>
      <c r="L39" s="5">
        <f>ROUND(F39*G39+F39*1.30*H39+F39*1.55*I39+F39*1.65*J39,2)</f>
        <v/>
      </c>
      <c r="M39" s="5">
        <f>ROUND(L39*0.0919,2)</f>
        <v/>
      </c>
      <c r="N39" s="5">
        <f>ROUND(L39-M39,2)</f>
        <v/>
      </c>
      <c r="O39" s="5">
        <f>ROUND(N39*0.2280,2)</f>
        <v/>
      </c>
      <c r="P39" s="5">
        <f>ROUND(N39-O39,2)</f>
        <v/>
      </c>
      <c r="Q39" s="4" t="inlineStr"/>
    </row>
    <row r="40">
      <c r="A40" s="4" t="inlineStr">
        <is>
          <t>0603</t>
        </is>
      </c>
      <c r="B40" s="4" t="inlineStr">
        <is>
          <t>PREDA RADU</t>
        </is>
      </c>
      <c r="C40" s="4" t="inlineStr">
        <is>
          <t>Magazziniere</t>
        </is>
      </c>
      <c r="D40" s="4" t="inlineStr">
        <is>
          <t>MAGAZZ.</t>
        </is>
      </c>
      <c r="E40" s="4" t="inlineStr">
        <is>
          <t>6</t>
        </is>
      </c>
      <c r="F40" s="5" t="n">
        <v>10.11</v>
      </c>
      <c r="G40" s="4" t="n">
        <v>160</v>
      </c>
      <c r="H40" s="4" t="n">
        <v>4</v>
      </c>
      <c r="I40" s="4" t="n">
        <v>0</v>
      </c>
      <c r="J40" s="4" t="n">
        <v>12</v>
      </c>
      <c r="K40" s="4" t="n">
        <v>0</v>
      </c>
      <c r="L40" s="5">
        <f>ROUND(F40*G40+F40*1.30*H40+F40*1.55*I40+F40*1.65*J40,2)</f>
        <v/>
      </c>
      <c r="M40" s="5">
        <f>ROUND(L40*0.0919,2)</f>
        <v/>
      </c>
      <c r="N40" s="5">
        <f>ROUND(L40-M40,2)</f>
        <v/>
      </c>
      <c r="O40" s="5">
        <f>ROUND(N40*0.2280,2)</f>
        <v/>
      </c>
      <c r="P40" s="5">
        <f>ROUND(N40-O40,2)</f>
        <v/>
      </c>
      <c r="Q40" s="4" t="inlineStr"/>
    </row>
    <row r="41">
      <c r="A41" s="4" t="inlineStr">
        <is>
          <t>0604</t>
        </is>
      </c>
      <c r="B41" s="4" t="inlineStr">
        <is>
          <t>MATTIELLO GIANLUCA</t>
        </is>
      </c>
      <c r="C41" s="4" t="inlineStr">
        <is>
          <t>Magazziniere</t>
        </is>
      </c>
      <c r="D41" s="4" t="inlineStr">
        <is>
          <t>MAGAZZ.</t>
        </is>
      </c>
      <c r="E41" s="4" t="inlineStr">
        <is>
          <t>6</t>
        </is>
      </c>
      <c r="F41" s="5" t="n">
        <v>10.11</v>
      </c>
      <c r="G41" s="4" t="n">
        <v>160</v>
      </c>
      <c r="H41" s="4" t="n">
        <v>0</v>
      </c>
      <c r="I41" s="4" t="n">
        <v>0</v>
      </c>
      <c r="J41" s="4" t="n">
        <v>0</v>
      </c>
      <c r="K41" s="4" t="n">
        <v>0</v>
      </c>
      <c r="L41" s="5">
        <f>ROUND(F41*G41+F41*1.30*H41+F41*1.55*I41+F41*1.65*J41,2)</f>
        <v/>
      </c>
      <c r="M41" s="5">
        <f>ROUND(L41*0.0919,2)</f>
        <v/>
      </c>
      <c r="N41" s="5">
        <f>ROUND(L41-M41,2)</f>
        <v/>
      </c>
      <c r="O41" s="5">
        <f>ROUND(N41*0.2280,2)</f>
        <v/>
      </c>
      <c r="P41" s="5">
        <f>ROUND(N41-O41,2)</f>
        <v/>
      </c>
      <c r="Q41" s="4" t="inlineStr"/>
    </row>
    <row r="42">
      <c r="A42" s="4" t="inlineStr">
        <is>
          <t>0701</t>
        </is>
      </c>
      <c r="B42" s="4" t="inlineStr">
        <is>
          <t>DAL MASO IVANO</t>
        </is>
      </c>
      <c r="C42" s="4" t="inlineStr">
        <is>
          <t>Capo officina</t>
        </is>
      </c>
      <c r="D42" s="4" t="inlineStr">
        <is>
          <t>MANUT.</t>
        </is>
      </c>
      <c r="E42" s="4" t="inlineStr">
        <is>
          <t>3</t>
        </is>
      </c>
      <c r="F42" s="5" t="n">
        <v>13.44</v>
      </c>
      <c r="G42" s="4" t="n">
        <v>160</v>
      </c>
      <c r="H42" s="4" t="n">
        <v>0</v>
      </c>
      <c r="I42" s="4" t="n">
        <v>0</v>
      </c>
      <c r="J42" s="4" t="n">
        <v>4</v>
      </c>
      <c r="K42" s="4" t="n">
        <v>0</v>
      </c>
      <c r="L42" s="5">
        <f>ROUND(F42*G42+F42*1.30*H42+F42*1.55*I42+F42*1.65*J42,2)</f>
        <v/>
      </c>
      <c r="M42" s="5">
        <f>ROUND(L42*0.0919,2)</f>
        <v/>
      </c>
      <c r="N42" s="5">
        <f>ROUND(L42-M42,2)</f>
        <v/>
      </c>
      <c r="O42" s="5">
        <f>ROUND(N42*0.2280,2)</f>
        <v/>
      </c>
      <c r="P42" s="5">
        <f>ROUND(N42-O42,2)</f>
        <v/>
      </c>
      <c r="Q42" s="6" t="inlineStr">
        <is>
          <t>chiamata emergenza 10/05 - valvola azoto PKM-450</t>
        </is>
      </c>
    </row>
    <row r="43">
      <c r="A43" s="4" t="inlineStr">
        <is>
          <t>0702</t>
        </is>
      </c>
      <c r="B43" s="4" t="inlineStr">
        <is>
          <t>BISSOLI MIRCO</t>
        </is>
      </c>
      <c r="C43" s="4" t="inlineStr">
        <is>
          <t>Manutentore notte</t>
        </is>
      </c>
      <c r="D43" s="4" t="inlineStr">
        <is>
          <t>MANUT.</t>
        </is>
      </c>
      <c r="E43" s="4" t="inlineStr">
        <is>
          <t>4</t>
        </is>
      </c>
      <c r="F43" s="5" t="n">
        <v>11.82</v>
      </c>
      <c r="G43" s="4" t="n">
        <v>144</v>
      </c>
      <c r="H43" s="4" t="n">
        <v>0</v>
      </c>
      <c r="I43" s="4" t="n">
        <v>12</v>
      </c>
      <c r="J43" s="4" t="n">
        <v>8</v>
      </c>
      <c r="K43" s="4" t="n">
        <v>16</v>
      </c>
      <c r="L43" s="5">
        <f>ROUND(F43*G43+F43*1.30*H43+F43*1.55*I43+F43*1.65*J43,2)</f>
        <v/>
      </c>
      <c r="M43" s="5">
        <f>ROUND(L43*0.0919,2)</f>
        <v/>
      </c>
      <c r="N43" s="5">
        <f>ROUND(L43-M43,2)</f>
        <v/>
      </c>
      <c r="O43" s="5">
        <f>ROUND(N43*0.2280,2)</f>
        <v/>
      </c>
      <c r="P43" s="5">
        <f>ROUND(N43-O43,2)</f>
        <v/>
      </c>
      <c r="Q43" s="6" t="inlineStr">
        <is>
          <t>ferie 2 gg</t>
        </is>
      </c>
    </row>
    <row r="44">
      <c r="B44" s="7" t="inlineStr">
        <is>
          <t>TOTALI</t>
        </is>
      </c>
      <c r="G44" s="7">
        <f>SUM(G5:G43)</f>
        <v/>
      </c>
      <c r="H44" s="7">
        <f>SUM(H5:H43)</f>
        <v/>
      </c>
      <c r="I44" s="7">
        <f>SUM(I5:I43)</f>
        <v/>
      </c>
      <c r="J44" s="7">
        <f>SUM(J5:J43)</f>
        <v/>
      </c>
      <c r="K44" s="7">
        <f>SUM(K5:K43)</f>
        <v/>
      </c>
      <c r="L44" s="8">
        <f>SUM(L5:L43)</f>
        <v/>
      </c>
      <c r="M44" s="8">
        <f>SUM(M5:M43)</f>
        <v/>
      </c>
      <c r="N44" s="8">
        <f>SUM(N5:N43)</f>
        <v/>
      </c>
      <c r="O44" s="8">
        <f>SUM(O5:O43)</f>
        <v/>
      </c>
      <c r="P44" s="8">
        <f>SUM(P5:P43)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4" customWidth="1" min="3" max="3"/>
    <col width="13" customWidth="1" min="4" max="4"/>
    <col width="14" customWidth="1" min="5" max="5"/>
    <col width="13" customWidth="1" min="6" max="6"/>
    <col width="16" customWidth="1" min="7" max="7"/>
    <col width="20" customWidth="1" min="8" max="8"/>
    <col width="16" customWidth="1" min="9" max="9"/>
  </cols>
  <sheetData>
    <row r="1">
      <c r="A1" s="1" t="inlineStr">
        <is>
          <t>Riepilogo per reparto - maggio 2026</t>
        </is>
      </c>
    </row>
    <row r="3">
      <c r="A3" s="3" t="inlineStr">
        <is>
          <t>Reparto</t>
        </is>
      </c>
      <c r="B3" s="3" t="inlineStr">
        <is>
          <t>N. addetti</t>
        </is>
      </c>
      <c r="C3" s="3" t="inlineStr">
        <is>
          <t>Ore ordinarie</t>
        </is>
      </c>
      <c r="D3" s="3" t="inlineStr">
        <is>
          <t>Str. diurno</t>
        </is>
      </c>
      <c r="E3" s="3" t="inlineStr">
        <is>
          <t>Str. notturno</t>
        </is>
      </c>
      <c r="F3" s="3" t="inlineStr">
        <is>
          <t>Str. festivo</t>
        </is>
      </c>
      <c r="G3" s="3" t="inlineStr">
        <is>
          <t>Retrib. lorda</t>
        </is>
      </c>
      <c r="H3" s="3" t="inlineStr">
        <is>
          <t>Costo contributivo azienda</t>
        </is>
      </c>
      <c r="I3" s="3" t="inlineStr">
        <is>
          <t>Costo totale</t>
        </is>
      </c>
    </row>
    <row r="4">
      <c r="A4" s="4" t="inlineStr">
        <is>
          <t>LINEA 1</t>
        </is>
      </c>
      <c r="B4" s="4">
        <f>COUNTIF('Cedolini maggio'!$D$5:$D$43,A4)</f>
        <v/>
      </c>
      <c r="C4" s="4">
        <f>SUMIF('Cedolini maggio'!$D$5:$D$43,$A4,'Cedolini maggio'!$G$5:$G$43)</f>
        <v/>
      </c>
      <c r="D4" s="4">
        <f>SUMIF('Cedolini maggio'!$D$5:$D$43,$A4,'Cedolini maggio'!$H$5:$H$43)</f>
        <v/>
      </c>
      <c r="E4" s="4">
        <f>SUMIF('Cedolini maggio'!$D$5:$D$43,$A4,'Cedolini maggio'!$I$5:$I$43)</f>
        <v/>
      </c>
      <c r="F4" s="4">
        <f>SUMIF('Cedolini maggio'!$D$5:$D$43,$A4,'Cedolini maggio'!$J$5:$J$43)</f>
        <v/>
      </c>
      <c r="G4" s="5">
        <f>SUMIF('Cedolini maggio'!$D$5:$D$43,$A4,'Cedolini maggio'!$L$5:$L$43)</f>
        <v/>
      </c>
      <c r="H4" s="5">
        <f>ROUND(G4*0.3180,2)</f>
        <v/>
      </c>
      <c r="I4" s="5">
        <f>ROUND(G4+H4,2)</f>
        <v/>
      </c>
    </row>
    <row r="5">
      <c r="A5" s="4" t="inlineStr">
        <is>
          <t>LINEA 2</t>
        </is>
      </c>
      <c r="B5" s="4">
        <f>COUNTIF('Cedolini maggio'!$D$5:$D$43,A5)</f>
        <v/>
      </c>
      <c r="C5" s="4">
        <f>SUMIF('Cedolini maggio'!$D$5:$D$43,$A5,'Cedolini maggio'!$G$5:$G$43)</f>
        <v/>
      </c>
      <c r="D5" s="4">
        <f>SUMIF('Cedolini maggio'!$D$5:$D$43,$A5,'Cedolini maggio'!$H$5:$H$43)</f>
        <v/>
      </c>
      <c r="E5" s="4">
        <f>SUMIF('Cedolini maggio'!$D$5:$D$43,$A5,'Cedolini maggio'!$I$5:$I$43)</f>
        <v/>
      </c>
      <c r="F5" s="4">
        <f>SUMIF('Cedolini maggio'!$D$5:$D$43,$A5,'Cedolini maggio'!$J$5:$J$43)</f>
        <v/>
      </c>
      <c r="G5" s="5">
        <f>SUMIF('Cedolini maggio'!$D$5:$D$43,$A5,'Cedolini maggio'!$L$5:$L$43)</f>
        <v/>
      </c>
      <c r="H5" s="5">
        <f>ROUND(G5*0.3180,2)</f>
        <v/>
      </c>
      <c r="I5" s="5">
        <f>ROUND(G5+H5,2)</f>
        <v/>
      </c>
    </row>
    <row r="6">
      <c r="A6" s="4" t="inlineStr">
        <is>
          <t>LINEA 3</t>
        </is>
      </c>
      <c r="B6" s="4">
        <f>COUNTIF('Cedolini maggio'!$D$5:$D$43,A6)</f>
        <v/>
      </c>
      <c r="C6" s="4">
        <f>SUMIF('Cedolini maggio'!$D$5:$D$43,$A6,'Cedolini maggio'!$G$5:$G$43)</f>
        <v/>
      </c>
      <c r="D6" s="4">
        <f>SUMIF('Cedolini maggio'!$D$5:$D$43,$A6,'Cedolini maggio'!$H$5:$H$43)</f>
        <v/>
      </c>
      <c r="E6" s="4">
        <f>SUMIF('Cedolini maggio'!$D$5:$D$43,$A6,'Cedolini maggio'!$I$5:$I$43)</f>
        <v/>
      </c>
      <c r="F6" s="4">
        <f>SUMIF('Cedolini maggio'!$D$5:$D$43,$A6,'Cedolini maggio'!$J$5:$J$43)</f>
        <v/>
      </c>
      <c r="G6" s="5">
        <f>SUMIF('Cedolini maggio'!$D$5:$D$43,$A6,'Cedolini maggio'!$L$5:$L$43)</f>
        <v/>
      </c>
      <c r="H6" s="5">
        <f>ROUND(G6*0.3180,2)</f>
        <v/>
      </c>
      <c r="I6" s="5">
        <f>ROUND(G6+H6,2)</f>
        <v/>
      </c>
    </row>
    <row r="7">
      <c r="A7" s="4" t="inlineStr">
        <is>
          <t>CONFEZ.</t>
        </is>
      </c>
      <c r="B7" s="4">
        <f>COUNTIF('Cedolini maggio'!$D$5:$D$43,A7)</f>
        <v/>
      </c>
      <c r="C7" s="4">
        <f>SUMIF('Cedolini maggio'!$D$5:$D$43,$A7,'Cedolini maggio'!$G$5:$G$43)</f>
        <v/>
      </c>
      <c r="D7" s="4">
        <f>SUMIF('Cedolini maggio'!$D$5:$D$43,$A7,'Cedolini maggio'!$H$5:$H$43)</f>
        <v/>
      </c>
      <c r="E7" s="4">
        <f>SUMIF('Cedolini maggio'!$D$5:$D$43,$A7,'Cedolini maggio'!$I$5:$I$43)</f>
        <v/>
      </c>
      <c r="F7" s="4">
        <f>SUMIF('Cedolini maggio'!$D$5:$D$43,$A7,'Cedolini maggio'!$J$5:$J$43)</f>
        <v/>
      </c>
      <c r="G7" s="5">
        <f>SUMIF('Cedolini maggio'!$D$5:$D$43,$A7,'Cedolini maggio'!$L$5:$L$43)</f>
        <v/>
      </c>
      <c r="H7" s="5">
        <f>ROUND(G7*0.3180,2)</f>
        <v/>
      </c>
      <c r="I7" s="5">
        <f>ROUND(G7+H7,2)</f>
        <v/>
      </c>
    </row>
    <row r="8">
      <c r="A8" s="4" t="inlineStr">
        <is>
          <t>MAGAZZ.</t>
        </is>
      </c>
      <c r="B8" s="4">
        <f>COUNTIF('Cedolini maggio'!$D$5:$D$43,A8)</f>
        <v/>
      </c>
      <c r="C8" s="4">
        <f>SUMIF('Cedolini maggio'!$D$5:$D$43,$A8,'Cedolini maggio'!$G$5:$G$43)</f>
        <v/>
      </c>
      <c r="D8" s="4">
        <f>SUMIF('Cedolini maggio'!$D$5:$D$43,$A8,'Cedolini maggio'!$H$5:$H$43)</f>
        <v/>
      </c>
      <c r="E8" s="4">
        <f>SUMIF('Cedolini maggio'!$D$5:$D$43,$A8,'Cedolini maggio'!$I$5:$I$43)</f>
        <v/>
      </c>
      <c r="F8" s="4">
        <f>SUMIF('Cedolini maggio'!$D$5:$D$43,$A8,'Cedolini maggio'!$J$5:$J$43)</f>
        <v/>
      </c>
      <c r="G8" s="5">
        <f>SUMIF('Cedolini maggio'!$D$5:$D$43,$A8,'Cedolini maggio'!$L$5:$L$43)</f>
        <v/>
      </c>
      <c r="H8" s="5">
        <f>ROUND(G8*0.3180,2)</f>
        <v/>
      </c>
      <c r="I8" s="5">
        <f>ROUND(G8+H8,2)</f>
        <v/>
      </c>
    </row>
    <row r="9">
      <c r="A9" s="4" t="inlineStr">
        <is>
          <t>MANUT.</t>
        </is>
      </c>
      <c r="B9" s="4">
        <f>COUNTIF('Cedolini maggio'!$D$5:$D$43,A9)</f>
        <v/>
      </c>
      <c r="C9" s="4">
        <f>SUMIF('Cedolini maggio'!$D$5:$D$43,$A9,'Cedolini maggio'!$G$5:$G$43)</f>
        <v/>
      </c>
      <c r="D9" s="4">
        <f>SUMIF('Cedolini maggio'!$D$5:$D$43,$A9,'Cedolini maggio'!$H$5:$H$43)</f>
        <v/>
      </c>
      <c r="E9" s="4">
        <f>SUMIF('Cedolini maggio'!$D$5:$D$43,$A9,'Cedolini maggio'!$I$5:$I$43)</f>
        <v/>
      </c>
      <c r="F9" s="4">
        <f>SUMIF('Cedolini maggio'!$D$5:$D$43,$A9,'Cedolini maggio'!$J$5:$J$43)</f>
        <v/>
      </c>
      <c r="G9" s="5">
        <f>SUMIF('Cedolini maggio'!$D$5:$D$43,$A9,'Cedolini maggio'!$L$5:$L$43)</f>
        <v/>
      </c>
      <c r="H9" s="5">
        <f>ROUND(G9*0.3180,2)</f>
        <v/>
      </c>
      <c r="I9" s="5">
        <f>ROUND(G9+H9,2)</f>
        <v/>
      </c>
    </row>
    <row r="10">
      <c r="A10" s="9" t="inlineStr">
        <is>
          <t>TOTALE</t>
        </is>
      </c>
      <c r="B10" s="7">
        <f>SUM(B4:B9)</f>
        <v/>
      </c>
      <c r="C10" s="7">
        <f>SUM(C4:C9)</f>
        <v/>
      </c>
      <c r="D10" s="7">
        <f>SUM(D4:D9)</f>
        <v/>
      </c>
      <c r="E10" s="7">
        <f>SUM(E4:E9)</f>
        <v/>
      </c>
      <c r="F10" s="7">
        <f>SUM(F4:F9)</f>
        <v/>
      </c>
      <c r="G10" s="8">
        <f>SUM(G4:G9)</f>
        <v/>
      </c>
      <c r="H10" s="8">
        <f>SUM(H4:H9)</f>
        <v/>
      </c>
      <c r="I10" s="8">
        <f>SUM(I4:I9)</f>
        <v/>
      </c>
    </row>
    <row r="12">
      <c r="A12" s="2" t="inlineStr">
        <is>
          <t>maggiorazioni applicate: straordinario diurno +30%, notturno +55%, festivo +65% (CCNL Industria Alimentare)</t>
        </is>
      </c>
    </row>
    <row r="13">
      <c r="A13" s="2" t="inlineStr">
        <is>
          <t>domeniche lavorate a maggio: 10/05 e 17/05 (promo settimane 19-21); la terza, 24/05, era programmata e poi sospesa</t>
        </is>
      </c>
    </row>
    <row r="14">
      <c r="A14" s="2" t="inlineStr">
        <is>
          <t>(Trentin) le ore festive del 10/05 comprendono la chiamata di emergenza di Dal Maso e il turno di Bissoli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selection activeCell="A1" sqref="A1"/>
    </sheetView>
  </sheetViews>
  <sheetFormatPr baseColWidth="8" defaultRowHeight="15"/>
  <cols>
    <col width="11" customWidth="1" min="1" max="1"/>
    <col width="26" customWidth="1" min="2" max="2"/>
    <col width="12" customWidth="1" min="3" max="3"/>
    <col width="13" customWidth="1" min="4" max="4"/>
    <col width="13" customWidth="1" min="5" max="5"/>
    <col width="13" customWidth="1" min="6" max="6"/>
    <col width="15" customWidth="1" min="7" max="7"/>
    <col width="16" customWidth="1" min="8" max="8"/>
  </cols>
  <sheetData>
    <row r="1">
      <c r="A1" s="1" t="inlineStr">
        <is>
          <t>Straordinario per dipendente - progressivo annuo e limite di legge</t>
        </is>
      </c>
    </row>
    <row r="2">
      <c r="A2" s="2" t="inlineStr">
        <is>
          <t>limite contrattuale 250 ore annue (art. 5 CCNL) - segnalati in rosso i superamenti</t>
        </is>
      </c>
    </row>
    <row r="4">
      <c r="A4" s="10" t="inlineStr">
        <is>
          <t>Matricola</t>
        </is>
      </c>
      <c r="B4" s="10" t="inlineStr">
        <is>
          <t>Cognome e nome</t>
        </is>
      </c>
      <c r="C4" s="10" t="inlineStr">
        <is>
          <t>Reparto</t>
        </is>
      </c>
      <c r="D4" s="10" t="inlineStr">
        <is>
          <t>Str. gen-apr</t>
        </is>
      </c>
      <c r="E4" s="10" t="inlineStr">
        <is>
          <t>Str. maggio</t>
        </is>
      </c>
      <c r="F4" s="10" t="inlineStr">
        <is>
          <t>Progressivo</t>
        </is>
      </c>
      <c r="G4" s="10" t="inlineStr">
        <is>
          <t>Residuo su 250</t>
        </is>
      </c>
      <c r="H4" s="10" t="inlineStr">
        <is>
          <t>Stato</t>
        </is>
      </c>
    </row>
    <row r="5">
      <c r="A5" s="4" t="inlineStr">
        <is>
          <t>0201</t>
        </is>
      </c>
      <c r="B5" s="4" t="inlineStr">
        <is>
          <t>POPESCU IONUT</t>
        </is>
      </c>
      <c r="C5" s="4" t="inlineStr">
        <is>
          <t>LINEA 1</t>
        </is>
      </c>
      <c r="D5" s="4" t="n">
        <v>55</v>
      </c>
      <c r="E5" s="4">
        <f>'Cedolini maggio'!H5+'Cedolini maggio'!I5+'Cedolini maggio'!J5</f>
        <v/>
      </c>
      <c r="F5" s="4">
        <f>D5+E5</f>
        <v/>
      </c>
      <c r="G5" s="4">
        <f>250-F5</f>
        <v/>
      </c>
      <c r="H5" s="4">
        <f>IF(F5&gt;250,"SUPERATO",IF(F5&gt;200,"in prossimita del limite","nella norma"))</f>
        <v/>
      </c>
    </row>
    <row r="6">
      <c r="A6" s="4" t="inlineStr">
        <is>
          <t>0202</t>
        </is>
      </c>
      <c r="B6" s="4" t="inlineStr">
        <is>
          <t>ROSSIN DAVIDE</t>
        </is>
      </c>
      <c r="C6" s="4" t="inlineStr">
        <is>
          <t>LINEA 1</t>
        </is>
      </c>
      <c r="D6" s="4" t="n">
        <v>91</v>
      </c>
      <c r="E6" s="4">
        <f>'Cedolini maggio'!H6+'Cedolini maggio'!I6+'Cedolini maggio'!J6</f>
        <v/>
      </c>
      <c r="F6" s="4">
        <f>D6+E6</f>
        <v/>
      </c>
      <c r="G6" s="4">
        <f>250-F6</f>
        <v/>
      </c>
      <c r="H6" s="4">
        <f>IF(F6&gt;250,"SUPERATO",IF(F6&gt;200,"in prossimita del limite","nella norma"))</f>
        <v/>
      </c>
    </row>
    <row r="7">
      <c r="A7" s="4" t="inlineStr">
        <is>
          <t>0203</t>
        </is>
      </c>
      <c r="B7" s="4" t="inlineStr">
        <is>
          <t>PERIN LUCA</t>
        </is>
      </c>
      <c r="C7" s="4" t="inlineStr">
        <is>
          <t>LINEA 1</t>
        </is>
      </c>
      <c r="D7" s="4" t="n">
        <v>48</v>
      </c>
      <c r="E7" s="4">
        <f>'Cedolini maggio'!H7+'Cedolini maggio'!I7+'Cedolini maggio'!J7</f>
        <v/>
      </c>
      <c r="F7" s="4">
        <f>D7+E7</f>
        <v/>
      </c>
      <c r="G7" s="4">
        <f>250-F7</f>
        <v/>
      </c>
      <c r="H7" s="4">
        <f>IF(F7&gt;250,"SUPERATO",IF(F7&gt;200,"in prossimita del limite","nella norma"))</f>
        <v/>
      </c>
    </row>
    <row r="8">
      <c r="A8" s="4" t="inlineStr">
        <is>
          <t>0204</t>
        </is>
      </c>
      <c r="B8" s="4" t="inlineStr">
        <is>
          <t>OSEI SAMUEL</t>
        </is>
      </c>
      <c r="C8" s="4" t="inlineStr">
        <is>
          <t>LINEA 1</t>
        </is>
      </c>
      <c r="D8" s="4" t="n">
        <v>93</v>
      </c>
      <c r="E8" s="4">
        <f>'Cedolini maggio'!H8+'Cedolini maggio'!I8+'Cedolini maggio'!J8</f>
        <v/>
      </c>
      <c r="F8" s="4">
        <f>D8+E8</f>
        <v/>
      </c>
      <c r="G8" s="4">
        <f>250-F8</f>
        <v/>
      </c>
      <c r="H8" s="4">
        <f>IF(F8&gt;250,"SUPERATO",IF(F8&gt;200,"in prossimita del limite","nella norma"))</f>
        <v/>
      </c>
    </row>
    <row r="9">
      <c r="A9" s="4" t="inlineStr">
        <is>
          <t>0205</t>
        </is>
      </c>
      <c r="B9" s="4" t="inlineStr">
        <is>
          <t>VASILESCU ANDREI</t>
        </is>
      </c>
      <c r="C9" s="4" t="inlineStr">
        <is>
          <t>LINEA 1</t>
        </is>
      </c>
      <c r="D9" s="4" t="n">
        <v>20</v>
      </c>
      <c r="E9" s="4">
        <f>'Cedolini maggio'!H9+'Cedolini maggio'!I9+'Cedolini maggio'!J9</f>
        <v/>
      </c>
      <c r="F9" s="4">
        <f>D9+E9</f>
        <v/>
      </c>
      <c r="G9" s="4">
        <f>250-F9</f>
        <v/>
      </c>
      <c r="H9" s="4">
        <f>IF(F9&gt;250,"SUPERATO",IF(F9&gt;200,"in prossimita del limite","nella norma"))</f>
        <v/>
      </c>
    </row>
    <row r="10">
      <c r="A10" s="4" t="inlineStr">
        <is>
          <t>0206</t>
        </is>
      </c>
      <c r="B10" s="4" t="inlineStr">
        <is>
          <t>BOGONI MARTA</t>
        </is>
      </c>
      <c r="C10" s="4" t="inlineStr">
        <is>
          <t>LINEA 1</t>
        </is>
      </c>
      <c r="D10" s="4" t="n">
        <v>54</v>
      </c>
      <c r="E10" s="4">
        <f>'Cedolini maggio'!H10+'Cedolini maggio'!I10+'Cedolini maggio'!J10</f>
        <v/>
      </c>
      <c r="F10" s="4">
        <f>D10+E10</f>
        <v/>
      </c>
      <c r="G10" s="4">
        <f>250-F10</f>
        <v/>
      </c>
      <c r="H10" s="4">
        <f>IF(F10&gt;250,"SUPERATO",IF(F10&gt;200,"in prossimita del limite","nella norma"))</f>
        <v/>
      </c>
    </row>
    <row r="11">
      <c r="A11" s="4" t="inlineStr">
        <is>
          <t>0207</t>
        </is>
      </c>
      <c r="B11" s="4" t="inlineStr">
        <is>
          <t>FURLAN ALESSANDRO</t>
        </is>
      </c>
      <c r="C11" s="4" t="inlineStr">
        <is>
          <t>LINEA 1</t>
        </is>
      </c>
      <c r="D11" s="4" t="n">
        <v>62</v>
      </c>
      <c r="E11" s="4">
        <f>'Cedolini maggio'!H11+'Cedolini maggio'!I11+'Cedolini maggio'!J11</f>
        <v/>
      </c>
      <c r="F11" s="4">
        <f>D11+E11</f>
        <v/>
      </c>
      <c r="G11" s="4">
        <f>250-F11</f>
        <v/>
      </c>
      <c r="H11" s="4">
        <f>IF(F11&gt;250,"SUPERATO",IF(F11&gt;200,"in prossimita del limite","nella norma"))</f>
        <v/>
      </c>
    </row>
    <row r="12">
      <c r="A12" s="4" t="inlineStr">
        <is>
          <t>0208</t>
        </is>
      </c>
      <c r="B12" s="4" t="inlineStr">
        <is>
          <t>EL AMRANI HASSAN</t>
        </is>
      </c>
      <c r="C12" s="4" t="inlineStr">
        <is>
          <t>LINEA 1</t>
        </is>
      </c>
      <c r="D12" s="4" t="n">
        <v>82</v>
      </c>
      <c r="E12" s="4">
        <f>'Cedolini maggio'!H12+'Cedolini maggio'!I12+'Cedolini maggio'!J12</f>
        <v/>
      </c>
      <c r="F12" s="4">
        <f>D12+E12</f>
        <v/>
      </c>
      <c r="G12" s="4">
        <f>250-F12</f>
        <v/>
      </c>
      <c r="H12" s="4">
        <f>IF(F12&gt;250,"SUPERATO",IF(F12&gt;200,"in prossimita del limite","nella norma"))</f>
        <v/>
      </c>
    </row>
    <row r="13">
      <c r="A13" s="4" t="inlineStr">
        <is>
          <t>0209</t>
        </is>
      </c>
      <c r="B13" s="4" t="inlineStr">
        <is>
          <t>PELOSO GIORGIO</t>
        </is>
      </c>
      <c r="C13" s="4" t="inlineStr">
        <is>
          <t>LINEA 1</t>
        </is>
      </c>
      <c r="D13" s="4" t="n">
        <v>76</v>
      </c>
      <c r="E13" s="4">
        <f>'Cedolini maggio'!H13+'Cedolini maggio'!I13+'Cedolini maggio'!J13</f>
        <v/>
      </c>
      <c r="F13" s="4">
        <f>D13+E13</f>
        <v/>
      </c>
      <c r="G13" s="4">
        <f>250-F13</f>
        <v/>
      </c>
      <c r="H13" s="4">
        <f>IF(F13&gt;250,"SUPERATO",IF(F13&gt;200,"in prossimita del limite","nella norma"))</f>
        <v/>
      </c>
    </row>
    <row r="14">
      <c r="A14" s="4" t="inlineStr">
        <is>
          <t>0210</t>
        </is>
      </c>
      <c r="B14" s="4" t="inlineStr">
        <is>
          <t>MUNTEANU CRISTIAN</t>
        </is>
      </c>
      <c r="C14" s="4" t="inlineStr">
        <is>
          <t>LINEA 1</t>
        </is>
      </c>
      <c r="D14" s="4" t="n">
        <v>84</v>
      </c>
      <c r="E14" s="4">
        <f>'Cedolini maggio'!H14+'Cedolini maggio'!I14+'Cedolini maggio'!J14</f>
        <v/>
      </c>
      <c r="F14" s="4">
        <f>D14+E14</f>
        <v/>
      </c>
      <c r="G14" s="4">
        <f>250-F14</f>
        <v/>
      </c>
      <c r="H14" s="4">
        <f>IF(F14&gt;250,"SUPERATO",IF(F14&gt;200,"in prossimita del limite","nella norma"))</f>
        <v/>
      </c>
    </row>
    <row r="15">
      <c r="A15" s="4" t="inlineStr">
        <is>
          <t>0301</t>
        </is>
      </c>
      <c r="B15" s="4" t="inlineStr">
        <is>
          <t>BEN SALAH ADEL</t>
        </is>
      </c>
      <c r="C15" s="4" t="inlineStr">
        <is>
          <t>LINEA 2</t>
        </is>
      </c>
      <c r="D15" s="4" t="n">
        <v>207</v>
      </c>
      <c r="E15" s="4">
        <f>'Cedolini maggio'!H15+'Cedolini maggio'!I15+'Cedolini maggio'!J15</f>
        <v/>
      </c>
      <c r="F15" s="4">
        <f>D15+E15</f>
        <v/>
      </c>
      <c r="G15" s="4">
        <f>250-F15</f>
        <v/>
      </c>
      <c r="H15" s="4">
        <f>IF(F15&gt;250,"SUPERATO",IF(F15&gt;200,"in prossimita del limite","nella norma"))</f>
        <v/>
      </c>
    </row>
    <row r="16">
      <c r="A16" s="4" t="inlineStr">
        <is>
          <t>0302</t>
        </is>
      </c>
      <c r="B16" s="4" t="inlineStr">
        <is>
          <t>HOXHA FATJON</t>
        </is>
      </c>
      <c r="C16" s="4" t="inlineStr">
        <is>
          <t>LINEA 2</t>
        </is>
      </c>
      <c r="D16" s="4" t="n">
        <v>220</v>
      </c>
      <c r="E16" s="4">
        <f>'Cedolini maggio'!H16+'Cedolini maggio'!I16+'Cedolini maggio'!J16</f>
        <v/>
      </c>
      <c r="F16" s="4">
        <f>D16+E16</f>
        <v/>
      </c>
      <c r="G16" s="4">
        <f>250-F16</f>
        <v/>
      </c>
      <c r="H16" s="4">
        <f>IF(F16&gt;250,"SUPERATO",IF(F16&gt;200,"in prossimita del limite","nella norma"))</f>
        <v/>
      </c>
    </row>
    <row r="17">
      <c r="A17" s="4" t="inlineStr">
        <is>
          <t>0303</t>
        </is>
      </c>
      <c r="B17" s="4" t="inlineStr">
        <is>
          <t>MANSOURI YOUSSEF</t>
        </is>
      </c>
      <c r="C17" s="4" t="inlineStr">
        <is>
          <t>LINEA 2</t>
        </is>
      </c>
      <c r="D17" s="4" t="n">
        <v>148</v>
      </c>
      <c r="E17" s="4">
        <f>'Cedolini maggio'!H17+'Cedolini maggio'!I17+'Cedolini maggio'!J17</f>
        <v/>
      </c>
      <c r="F17" s="4">
        <f>D17+E17</f>
        <v/>
      </c>
      <c r="G17" s="4">
        <f>250-F17</f>
        <v/>
      </c>
      <c r="H17" s="4">
        <f>IF(F17&gt;250,"SUPERATO",IF(F17&gt;200,"in prossimita del limite","nella norma"))</f>
        <v/>
      </c>
    </row>
    <row r="18">
      <c r="A18" s="4" t="inlineStr">
        <is>
          <t>0304</t>
        </is>
      </c>
      <c r="B18" s="4" t="inlineStr">
        <is>
          <t>DAL BEN ELISA</t>
        </is>
      </c>
      <c r="C18" s="4" t="inlineStr">
        <is>
          <t>LINEA 2</t>
        </is>
      </c>
      <c r="D18" s="4" t="n">
        <v>125</v>
      </c>
      <c r="E18" s="4">
        <f>'Cedolini maggio'!H18+'Cedolini maggio'!I18+'Cedolini maggio'!J18</f>
        <v/>
      </c>
      <c r="F18" s="4">
        <f>D18+E18</f>
        <v/>
      </c>
      <c r="G18" s="4">
        <f>250-F18</f>
        <v/>
      </c>
      <c r="H18" s="4">
        <f>IF(F18&gt;250,"SUPERATO",IF(F18&gt;200,"in prossimita del limite","nella norma"))</f>
        <v/>
      </c>
    </row>
    <row r="19">
      <c r="A19" s="4" t="inlineStr">
        <is>
          <t>0305</t>
        </is>
      </c>
      <c r="B19" s="4" t="inlineStr">
        <is>
          <t>CIOBANU MARIUS</t>
        </is>
      </c>
      <c r="C19" s="4" t="inlineStr">
        <is>
          <t>LINEA 2</t>
        </is>
      </c>
      <c r="D19" s="4" t="n">
        <v>224</v>
      </c>
      <c r="E19" s="4">
        <f>'Cedolini maggio'!H19+'Cedolini maggio'!I19+'Cedolini maggio'!J19</f>
        <v/>
      </c>
      <c r="F19" s="4">
        <f>D19+E19</f>
        <v/>
      </c>
      <c r="G19" s="4">
        <f>250-F19</f>
        <v/>
      </c>
      <c r="H19" s="4">
        <f>IF(F19&gt;250,"SUPERATO",IF(F19&gt;200,"in prossimita del limite","nella norma"))</f>
        <v/>
      </c>
    </row>
    <row r="20">
      <c r="A20" s="4" t="inlineStr">
        <is>
          <t>0306</t>
        </is>
      </c>
      <c r="B20" s="4" t="inlineStr">
        <is>
          <t>BERTACCO PAOLO</t>
        </is>
      </c>
      <c r="C20" s="4" t="inlineStr">
        <is>
          <t>LINEA 2</t>
        </is>
      </c>
      <c r="D20" s="4" t="n">
        <v>225</v>
      </c>
      <c r="E20" s="4">
        <f>'Cedolini maggio'!H20+'Cedolini maggio'!I20+'Cedolini maggio'!J20</f>
        <v/>
      </c>
      <c r="F20" s="4">
        <f>D20+E20</f>
        <v/>
      </c>
      <c r="G20" s="4">
        <f>250-F20</f>
        <v/>
      </c>
      <c r="H20" s="4">
        <f>IF(F20&gt;250,"SUPERATO",IF(F20&gt;200,"in prossimita del limite","nella norma"))</f>
        <v/>
      </c>
    </row>
    <row r="21">
      <c r="A21" s="4" t="inlineStr">
        <is>
          <t>0307</t>
        </is>
      </c>
      <c r="B21" s="4" t="inlineStr">
        <is>
          <t>REFOSCO SONIA</t>
        </is>
      </c>
      <c r="C21" s="4" t="inlineStr">
        <is>
          <t>LINEA 2</t>
        </is>
      </c>
      <c r="D21" s="4" t="n">
        <v>144</v>
      </c>
      <c r="E21" s="4">
        <f>'Cedolini maggio'!H21+'Cedolini maggio'!I21+'Cedolini maggio'!J21</f>
        <v/>
      </c>
      <c r="F21" s="4">
        <f>D21+E21</f>
        <v/>
      </c>
      <c r="G21" s="4">
        <f>250-F21</f>
        <v/>
      </c>
      <c r="H21" s="4">
        <f>IF(F21&gt;250,"SUPERATO",IF(F21&gt;200,"in prossimita del limite","nella norma"))</f>
        <v/>
      </c>
    </row>
    <row r="22">
      <c r="A22" s="4" t="inlineStr">
        <is>
          <t>0308</t>
        </is>
      </c>
      <c r="B22" s="4" t="inlineStr">
        <is>
          <t>SOW IBRAHIM</t>
        </is>
      </c>
      <c r="C22" s="4" t="inlineStr">
        <is>
          <t>LINEA 2</t>
        </is>
      </c>
      <c r="D22" s="4" t="n">
        <v>214</v>
      </c>
      <c r="E22" s="4">
        <f>'Cedolini maggio'!H22+'Cedolini maggio'!I22+'Cedolini maggio'!J22</f>
        <v/>
      </c>
      <c r="F22" s="4">
        <f>D22+E22</f>
        <v/>
      </c>
      <c r="G22" s="4">
        <f>250-F22</f>
        <v/>
      </c>
      <c r="H22" s="4">
        <f>IF(F22&gt;250,"SUPERATO",IF(F22&gt;200,"in prossimita del limite","nella norma"))</f>
        <v/>
      </c>
    </row>
    <row r="23">
      <c r="A23" s="4" t="inlineStr">
        <is>
          <t>0309</t>
        </is>
      </c>
      <c r="B23" s="4" t="inlineStr">
        <is>
          <t>GECCHELE NICOLO</t>
        </is>
      </c>
      <c r="C23" s="4" t="inlineStr">
        <is>
          <t>LINEA 2</t>
        </is>
      </c>
      <c r="D23" s="4" t="n">
        <v>136</v>
      </c>
      <c r="E23" s="4">
        <f>'Cedolini maggio'!H23+'Cedolini maggio'!I23+'Cedolini maggio'!J23</f>
        <v/>
      </c>
      <c r="F23" s="4">
        <f>D23+E23</f>
        <v/>
      </c>
      <c r="G23" s="4">
        <f>250-F23</f>
        <v/>
      </c>
      <c r="H23" s="4">
        <f>IF(F23&gt;250,"SUPERATO",IF(F23&gt;200,"in prossimita del limite","nella norma"))</f>
        <v/>
      </c>
    </row>
    <row r="24">
      <c r="A24" s="4" t="inlineStr">
        <is>
          <t>0310</t>
        </is>
      </c>
      <c r="B24" s="4" t="inlineStr">
        <is>
          <t>LUPU VASILE</t>
        </is>
      </c>
      <c r="C24" s="4" t="inlineStr">
        <is>
          <t>LINEA 2</t>
        </is>
      </c>
      <c r="D24" s="4" t="n">
        <v>219</v>
      </c>
      <c r="E24" s="4">
        <f>'Cedolini maggio'!H24+'Cedolini maggio'!I24+'Cedolini maggio'!J24</f>
        <v/>
      </c>
      <c r="F24" s="4">
        <f>D24+E24</f>
        <v/>
      </c>
      <c r="G24" s="4">
        <f>250-F24</f>
        <v/>
      </c>
      <c r="H24" s="4">
        <f>IF(F24&gt;250,"SUPERATO",IF(F24&gt;200,"in prossimita del limite","nella norma"))</f>
        <v/>
      </c>
    </row>
    <row r="25">
      <c r="A25" s="4" t="inlineStr">
        <is>
          <t>0401</t>
        </is>
      </c>
      <c r="B25" s="4" t="inlineStr">
        <is>
          <t>GUERRA ROBERTO</t>
        </is>
      </c>
      <c r="C25" s="4" t="inlineStr">
        <is>
          <t>LINEA 3</t>
        </is>
      </c>
      <c r="D25" s="4" t="n">
        <v>41</v>
      </c>
      <c r="E25" s="4">
        <f>'Cedolini maggio'!H25+'Cedolini maggio'!I25+'Cedolini maggio'!J25</f>
        <v/>
      </c>
      <c r="F25" s="4">
        <f>D25+E25</f>
        <v/>
      </c>
      <c r="G25" s="4">
        <f>250-F25</f>
        <v/>
      </c>
      <c r="H25" s="4">
        <f>IF(F25&gt;250,"SUPERATO",IF(F25&gt;200,"in prossimita del limite","nella norma"))</f>
        <v/>
      </c>
    </row>
    <row r="26">
      <c r="A26" s="4" t="inlineStr">
        <is>
          <t>0402</t>
        </is>
      </c>
      <c r="B26" s="4" t="inlineStr">
        <is>
          <t>CORRADIN EMANUELE</t>
        </is>
      </c>
      <c r="C26" s="4" t="inlineStr">
        <is>
          <t>LINEA 3</t>
        </is>
      </c>
      <c r="D26" s="4" t="n">
        <v>83</v>
      </c>
      <c r="E26" s="4">
        <f>'Cedolini maggio'!H26+'Cedolini maggio'!I26+'Cedolini maggio'!J26</f>
        <v/>
      </c>
      <c r="F26" s="4">
        <f>D26+E26</f>
        <v/>
      </c>
      <c r="G26" s="4">
        <f>250-F26</f>
        <v/>
      </c>
      <c r="H26" s="4">
        <f>IF(F26&gt;250,"SUPERATO",IF(F26&gt;200,"in prossimita del limite","nella norma"))</f>
        <v/>
      </c>
    </row>
    <row r="27">
      <c r="A27" s="4" t="inlineStr">
        <is>
          <t>0403</t>
        </is>
      </c>
      <c r="B27" s="4" t="inlineStr">
        <is>
          <t>ILIE PETRU</t>
        </is>
      </c>
      <c r="C27" s="4" t="inlineStr">
        <is>
          <t>LINEA 3</t>
        </is>
      </c>
      <c r="D27" s="4" t="n">
        <v>80</v>
      </c>
      <c r="E27" s="4">
        <f>'Cedolini maggio'!H27+'Cedolini maggio'!I27+'Cedolini maggio'!J27</f>
        <v/>
      </c>
      <c r="F27" s="4">
        <f>D27+E27</f>
        <v/>
      </c>
      <c r="G27" s="4">
        <f>250-F27</f>
        <v/>
      </c>
      <c r="H27" s="4">
        <f>IF(F27&gt;250,"SUPERATO",IF(F27&gt;200,"in prossimita del limite","nella norma"))</f>
        <v/>
      </c>
    </row>
    <row r="28">
      <c r="A28" s="4" t="inlineStr">
        <is>
          <t>0404</t>
        </is>
      </c>
      <c r="B28" s="4" t="inlineStr">
        <is>
          <t>MIOTTO SARA</t>
        </is>
      </c>
      <c r="C28" s="4" t="inlineStr">
        <is>
          <t>LINEA 3</t>
        </is>
      </c>
      <c r="D28" s="4" t="n">
        <v>29</v>
      </c>
      <c r="E28" s="4">
        <f>'Cedolini maggio'!H28+'Cedolini maggio'!I28+'Cedolini maggio'!J28</f>
        <v/>
      </c>
      <c r="F28" s="4">
        <f>D28+E28</f>
        <v/>
      </c>
      <c r="G28" s="4">
        <f>250-F28</f>
        <v/>
      </c>
      <c r="H28" s="4">
        <f>IF(F28&gt;250,"SUPERATO",IF(F28&gt;200,"in prossimita del limite","nella norma"))</f>
        <v/>
      </c>
    </row>
    <row r="29">
      <c r="A29" s="4" t="inlineStr">
        <is>
          <t>0405</t>
        </is>
      </c>
      <c r="B29" s="4" t="inlineStr">
        <is>
          <t>BOUZID KARIM</t>
        </is>
      </c>
      <c r="C29" s="4" t="inlineStr">
        <is>
          <t>LINEA 3</t>
        </is>
      </c>
      <c r="D29" s="4" t="n">
        <v>95</v>
      </c>
      <c r="E29" s="4">
        <f>'Cedolini maggio'!H29+'Cedolini maggio'!I29+'Cedolini maggio'!J29</f>
        <v/>
      </c>
      <c r="F29" s="4">
        <f>D29+E29</f>
        <v/>
      </c>
      <c r="G29" s="4">
        <f>250-F29</f>
        <v/>
      </c>
      <c r="H29" s="4">
        <f>IF(F29&gt;250,"SUPERATO",IF(F29&gt;200,"in prossimita del limite","nella norma"))</f>
        <v/>
      </c>
    </row>
    <row r="30">
      <c r="A30" s="4" t="inlineStr">
        <is>
          <t>0406</t>
        </is>
      </c>
      <c r="B30" s="4" t="inlineStr">
        <is>
          <t>TADIELLO FEDERICO</t>
        </is>
      </c>
      <c r="C30" s="4" t="inlineStr">
        <is>
          <t>LINEA 3</t>
        </is>
      </c>
      <c r="D30" s="4" t="n">
        <v>75</v>
      </c>
      <c r="E30" s="4">
        <f>'Cedolini maggio'!H30+'Cedolini maggio'!I30+'Cedolini maggio'!J30</f>
        <v/>
      </c>
      <c r="F30" s="4">
        <f>D30+E30</f>
        <v/>
      </c>
      <c r="G30" s="4">
        <f>250-F30</f>
        <v/>
      </c>
      <c r="H30" s="4">
        <f>IF(F30&gt;250,"SUPERATO",IF(F30&gt;200,"in prossimita del limite","nella norma"))</f>
        <v/>
      </c>
    </row>
    <row r="31">
      <c r="A31" s="4" t="inlineStr">
        <is>
          <t>0407</t>
        </is>
      </c>
      <c r="B31" s="4" t="inlineStr">
        <is>
          <t>MELNYK OLEG</t>
        </is>
      </c>
      <c r="C31" s="4" t="inlineStr">
        <is>
          <t>LINEA 3</t>
        </is>
      </c>
      <c r="D31" s="4" t="n">
        <v>77</v>
      </c>
      <c r="E31" s="4">
        <f>'Cedolini maggio'!H31+'Cedolini maggio'!I31+'Cedolini maggio'!J31</f>
        <v/>
      </c>
      <c r="F31" s="4">
        <f>D31+E31</f>
        <v/>
      </c>
      <c r="G31" s="4">
        <f>250-F31</f>
        <v/>
      </c>
      <c r="H31" s="4">
        <f>IF(F31&gt;250,"SUPERATO",IF(F31&gt;200,"in prossimita del limite","nella norma"))</f>
        <v/>
      </c>
    </row>
    <row r="32">
      <c r="A32" s="4" t="inlineStr">
        <is>
          <t>0408</t>
        </is>
      </c>
      <c r="B32" s="4" t="inlineStr">
        <is>
          <t>SBALCHIERO DAMIANO</t>
        </is>
      </c>
      <c r="C32" s="4" t="inlineStr">
        <is>
          <t>LINEA 3</t>
        </is>
      </c>
      <c r="D32" s="4" t="n">
        <v>93</v>
      </c>
      <c r="E32" s="4">
        <f>'Cedolini maggio'!H32+'Cedolini maggio'!I32+'Cedolini maggio'!J32</f>
        <v/>
      </c>
      <c r="F32" s="4">
        <f>D32+E32</f>
        <v/>
      </c>
      <c r="G32" s="4">
        <f>250-F32</f>
        <v/>
      </c>
      <c r="H32" s="4">
        <f>IF(F32&gt;250,"SUPERATO",IF(F32&gt;200,"in prossimita del limite","nella norma"))</f>
        <v/>
      </c>
    </row>
    <row r="33">
      <c r="A33" s="4" t="inlineStr">
        <is>
          <t>0501</t>
        </is>
      </c>
      <c r="B33" s="4" t="inlineStr">
        <is>
          <t>MAROBIN ANNA</t>
        </is>
      </c>
      <c r="C33" s="4" t="inlineStr">
        <is>
          <t>CONFEZ.</t>
        </is>
      </c>
      <c r="D33" s="4" t="n">
        <v>27</v>
      </c>
      <c r="E33" s="4">
        <f>'Cedolini maggio'!H33+'Cedolini maggio'!I33+'Cedolini maggio'!J33</f>
        <v/>
      </c>
      <c r="F33" s="4">
        <f>D33+E33</f>
        <v/>
      </c>
      <c r="G33" s="4">
        <f>250-F33</f>
        <v/>
      </c>
      <c r="H33" s="4">
        <f>IF(F33&gt;250,"SUPERATO",IF(F33&gt;200,"in prossimita del limite","nella norma"))</f>
        <v/>
      </c>
    </row>
    <row r="34">
      <c r="A34" s="4" t="inlineStr">
        <is>
          <t>0502</t>
        </is>
      </c>
      <c r="B34" s="4" t="inlineStr">
        <is>
          <t>PERETTO CHIARA</t>
        </is>
      </c>
      <c r="C34" s="4" t="inlineStr">
        <is>
          <t>CONFEZ.</t>
        </is>
      </c>
      <c r="D34" s="4" t="n">
        <v>45</v>
      </c>
      <c r="E34" s="4">
        <f>'Cedolini maggio'!H34+'Cedolini maggio'!I34+'Cedolini maggio'!J34</f>
        <v/>
      </c>
      <c r="F34" s="4">
        <f>D34+E34</f>
        <v/>
      </c>
      <c r="G34" s="4">
        <f>250-F34</f>
        <v/>
      </c>
      <c r="H34" s="4">
        <f>IF(F34&gt;250,"SUPERATO",IF(F34&gt;200,"in prossimita del limite","nella norma"))</f>
        <v/>
      </c>
    </row>
    <row r="35">
      <c r="A35" s="4" t="inlineStr">
        <is>
          <t>0503</t>
        </is>
      </c>
      <c r="B35" s="4" t="inlineStr">
        <is>
          <t>BA MAMADOU</t>
        </is>
      </c>
      <c r="C35" s="4" t="inlineStr">
        <is>
          <t>CONFEZ.</t>
        </is>
      </c>
      <c r="D35" s="4" t="n">
        <v>79</v>
      </c>
      <c r="E35" s="4">
        <f>'Cedolini maggio'!H35+'Cedolini maggio'!I35+'Cedolini maggio'!J35</f>
        <v/>
      </c>
      <c r="F35" s="4">
        <f>D35+E35</f>
        <v/>
      </c>
      <c r="G35" s="4">
        <f>250-F35</f>
        <v/>
      </c>
      <c r="H35" s="4">
        <f>IF(F35&gt;250,"SUPERATO",IF(F35&gt;200,"in prossimita del limite","nella norma"))</f>
        <v/>
      </c>
    </row>
    <row r="36">
      <c r="A36" s="4" t="inlineStr">
        <is>
          <t>0504</t>
        </is>
      </c>
      <c r="B36" s="4" t="inlineStr">
        <is>
          <t>FRIGO LUCIA</t>
        </is>
      </c>
      <c r="C36" s="4" t="inlineStr">
        <is>
          <t>CONFEZ.</t>
        </is>
      </c>
      <c r="D36" s="4" t="n">
        <v>60</v>
      </c>
      <c r="E36" s="4">
        <f>'Cedolini maggio'!H36+'Cedolini maggio'!I36+'Cedolini maggio'!J36</f>
        <v/>
      </c>
      <c r="F36" s="4">
        <f>D36+E36</f>
        <v/>
      </c>
      <c r="G36" s="4">
        <f>250-F36</f>
        <v/>
      </c>
      <c r="H36" s="4">
        <f>IF(F36&gt;250,"SUPERATO",IF(F36&gt;200,"in prossimita del limite","nella norma"))</f>
        <v/>
      </c>
    </row>
    <row r="37">
      <c r="A37" s="4" t="inlineStr">
        <is>
          <t>0505</t>
        </is>
      </c>
      <c r="B37" s="4" t="inlineStr">
        <is>
          <t>VISENTIN STEFANO</t>
        </is>
      </c>
      <c r="C37" s="4" t="inlineStr">
        <is>
          <t>CONFEZ.</t>
        </is>
      </c>
      <c r="D37" s="4" t="n">
        <v>12</v>
      </c>
      <c r="E37" s="4">
        <f>'Cedolini maggio'!H37+'Cedolini maggio'!I37+'Cedolini maggio'!J37</f>
        <v/>
      </c>
      <c r="F37" s="4">
        <f>D37+E37</f>
        <v/>
      </c>
      <c r="G37" s="4">
        <f>250-F37</f>
        <v/>
      </c>
      <c r="H37" s="4">
        <f>IF(F37&gt;250,"SUPERATO",IF(F37&gt;200,"in prossimita del limite","nella norma"))</f>
        <v/>
      </c>
    </row>
    <row r="38">
      <c r="A38" s="4" t="inlineStr">
        <is>
          <t>0601</t>
        </is>
      </c>
      <c r="B38" s="4" t="inlineStr">
        <is>
          <t>FAGGIONATO NICOLA</t>
        </is>
      </c>
      <c r="C38" s="4" t="inlineStr">
        <is>
          <t>MAGAZZ.</t>
        </is>
      </c>
      <c r="D38" s="4" t="n">
        <v>35</v>
      </c>
      <c r="E38" s="4">
        <f>'Cedolini maggio'!H38+'Cedolini maggio'!I38+'Cedolini maggio'!J38</f>
        <v/>
      </c>
      <c r="F38" s="4">
        <f>D38+E38</f>
        <v/>
      </c>
      <c r="G38" s="4">
        <f>250-F38</f>
        <v/>
      </c>
      <c r="H38" s="4">
        <f>IF(F38&gt;250,"SUPERATO",IF(F38&gt;200,"in prossimita del limite","nella norma"))</f>
        <v/>
      </c>
    </row>
    <row r="39">
      <c r="A39" s="4" t="inlineStr">
        <is>
          <t>0602</t>
        </is>
      </c>
      <c r="B39" s="4" t="inlineStr">
        <is>
          <t>SEGATO ALBERTO</t>
        </is>
      </c>
      <c r="C39" s="4" t="inlineStr">
        <is>
          <t>MAGAZZ.</t>
        </is>
      </c>
      <c r="D39" s="4" t="n">
        <v>54</v>
      </c>
      <c r="E39" s="4">
        <f>'Cedolini maggio'!H39+'Cedolini maggio'!I39+'Cedolini maggio'!J39</f>
        <v/>
      </c>
      <c r="F39" s="4">
        <f>D39+E39</f>
        <v/>
      </c>
      <c r="G39" s="4">
        <f>250-F39</f>
        <v/>
      </c>
      <c r="H39" s="4">
        <f>IF(F39&gt;250,"SUPERATO",IF(F39&gt;200,"in prossimita del limite","nella norma"))</f>
        <v/>
      </c>
    </row>
    <row r="40">
      <c r="A40" s="4" t="inlineStr">
        <is>
          <t>0603</t>
        </is>
      </c>
      <c r="B40" s="4" t="inlineStr">
        <is>
          <t>PREDA RADU</t>
        </is>
      </c>
      <c r="C40" s="4" t="inlineStr">
        <is>
          <t>MAGAZZ.</t>
        </is>
      </c>
      <c r="D40" s="4" t="n">
        <v>47</v>
      </c>
      <c r="E40" s="4">
        <f>'Cedolini maggio'!H40+'Cedolini maggio'!I40+'Cedolini maggio'!J40</f>
        <v/>
      </c>
      <c r="F40" s="4">
        <f>D40+E40</f>
        <v/>
      </c>
      <c r="G40" s="4">
        <f>250-F40</f>
        <v/>
      </c>
      <c r="H40" s="4">
        <f>IF(F40&gt;250,"SUPERATO",IF(F40&gt;200,"in prossimita del limite","nella norma"))</f>
        <v/>
      </c>
    </row>
    <row r="41">
      <c r="A41" s="4" t="inlineStr">
        <is>
          <t>0604</t>
        </is>
      </c>
      <c r="B41" s="4" t="inlineStr">
        <is>
          <t>MATTIELLO GIANLUCA</t>
        </is>
      </c>
      <c r="C41" s="4" t="inlineStr">
        <is>
          <t>MAGAZZ.</t>
        </is>
      </c>
      <c r="D41" s="4" t="n">
        <v>14</v>
      </c>
      <c r="E41" s="4">
        <f>'Cedolini maggio'!H41+'Cedolini maggio'!I41+'Cedolini maggio'!J41</f>
        <v/>
      </c>
      <c r="F41" s="4">
        <f>D41+E41</f>
        <v/>
      </c>
      <c r="G41" s="4">
        <f>250-F41</f>
        <v/>
      </c>
      <c r="H41" s="4">
        <f>IF(F41&gt;250,"SUPERATO",IF(F41&gt;200,"in prossimita del limite","nella norma"))</f>
        <v/>
      </c>
    </row>
    <row r="42">
      <c r="A42" s="4" t="inlineStr">
        <is>
          <t>0701</t>
        </is>
      </c>
      <c r="B42" s="4" t="inlineStr">
        <is>
          <t>DAL MASO IVANO</t>
        </is>
      </c>
      <c r="C42" s="4" t="inlineStr">
        <is>
          <t>MANUT.</t>
        </is>
      </c>
      <c r="D42" s="4" t="n">
        <v>47</v>
      </c>
      <c r="E42" s="4">
        <f>'Cedolini maggio'!H42+'Cedolini maggio'!I42+'Cedolini maggio'!J42</f>
        <v/>
      </c>
      <c r="F42" s="4">
        <f>D42+E42</f>
        <v/>
      </c>
      <c r="G42" s="4">
        <f>250-F42</f>
        <v/>
      </c>
      <c r="H42" s="4">
        <f>IF(F42&gt;250,"SUPERATO",IF(F42&gt;200,"in prossimita del limite","nella norma"))</f>
        <v/>
      </c>
    </row>
    <row r="43">
      <c r="A43" s="4" t="inlineStr">
        <is>
          <t>0702</t>
        </is>
      </c>
      <c r="B43" s="4" t="inlineStr">
        <is>
          <t>BISSOLI MIRCO</t>
        </is>
      </c>
      <c r="C43" s="4" t="inlineStr">
        <is>
          <t>MANUT.</t>
        </is>
      </c>
      <c r="D43" s="4" t="n">
        <v>24</v>
      </c>
      <c r="E43" s="4">
        <f>'Cedolini maggio'!H43+'Cedolini maggio'!I43+'Cedolini maggio'!J43</f>
        <v/>
      </c>
      <c r="F43" s="4">
        <f>D43+E43</f>
        <v/>
      </c>
      <c r="G43" s="4">
        <f>250-F43</f>
        <v/>
      </c>
      <c r="H43" s="4">
        <f>IF(F43&gt;250,"SUPERATO",IF(F43&gt;200,"in prossimita del limite","nella norma"))</f>
        <v/>
      </c>
    </row>
    <row r="45">
      <c r="A45" s="2" t="inlineStr">
        <is>
          <t>(Sartori) sei operai di Linea 2 sono oltre le 200 ore: e' il punto sollevato dalla RSU il 20/05.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46" customWidth="1" min="1" max="1"/>
    <col width="18" customWidth="1" min="2" max="2"/>
  </cols>
  <sheetData>
    <row r="1">
      <c r="A1" s="1" t="inlineStr">
        <is>
          <t>Costo del lavoro - maggio 2026</t>
        </is>
      </c>
    </row>
    <row r="4">
      <c r="A4" s="11" t="inlineStr">
        <is>
          <t>Retribuzione lorda del mese</t>
        </is>
      </c>
      <c r="B4" s="12">
        <f>'Cedolini maggio'!L44</f>
        <v/>
      </c>
    </row>
    <row r="5">
      <c r="A5" s="11" t="inlineStr">
        <is>
          <t>Contributi a carico azienda (28,5%)</t>
        </is>
      </c>
      <c r="B5" s="12">
        <f>B4*0.285</f>
        <v/>
      </c>
    </row>
    <row r="6">
      <c r="A6" s="11" t="inlineStr">
        <is>
          <t>Accantonamento TFR (7,41%)</t>
        </is>
      </c>
      <c r="B6" s="12">
        <f>B4*0.0741</f>
        <v/>
      </c>
    </row>
    <row r="7">
      <c r="A7" s="11" t="inlineStr">
        <is>
          <t>INAIL (tasso medio 2,8%)</t>
        </is>
      </c>
      <c r="B7" s="12">
        <f>B4*0.028</f>
        <v/>
      </c>
    </row>
    <row r="8">
      <c r="A8" s="9" t="inlineStr">
        <is>
          <t>COSTO AZIENDA DEL MESE</t>
        </is>
      </c>
      <c r="B8" s="13">
        <f>B4+B5+B6+B7</f>
        <v/>
      </c>
    </row>
    <row r="9">
      <c r="A9" s="11" t="inlineStr"/>
    </row>
    <row r="10">
      <c r="A10" s="11" t="inlineStr">
        <is>
          <t>Costo medio per addetto</t>
        </is>
      </c>
      <c r="B10" s="12">
        <f>B8/39</f>
        <v/>
      </c>
    </row>
    <row r="11">
      <c r="A11" s="11" t="inlineStr">
        <is>
          <t>Incidenza sul fatturato mensile (budget 1.100.000)</t>
        </is>
      </c>
      <c r="B11" s="14">
        <f>B8/1100000</f>
        <v/>
      </c>
    </row>
    <row r="12">
      <c r="A12" s="11" t="inlineStr">
        <is>
          <t>Costo del solo straordinario</t>
        </is>
      </c>
      <c r="B12" s="12">
        <f>'Cedolini maggio'!L44-('Cedolini maggio'!G44*10.8)</f>
        <v/>
      </c>
    </row>
    <row r="14">
      <c r="A14" s="2" t="inlineStr">
        <is>
          <t>(Trentin) il costo del mese e' sopra la media per via delle due domeniche. A giugno rientra.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Company>Aurora Food Group S.r.l.</Company>
  <AppVersion>16.0300</AppVersion>
  <TotalTime>132</TotalTim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libro unico lavoro estratto maggio2026</dc:title>
  <dc:creator>Luisa Trentin</dc:creator>
  <cp:lastModifiedBy>Giancarlo Bertoldi</cp:lastModifiedBy>
  <cp:revision>11</cp:revision>
  <dc:description/>
  <dcterms:created xsi:type="dcterms:W3CDTF">2026-02-24T19:51:31Z</dcterms:created>
  <dcterms:modified xsi:type="dcterms:W3CDTF">2026-06-05T10:51:31Z</dcterms:modified>
  <cp:company>Aurora Food Group S.r.l.</cp:company>
</cp:coreProperties>
</file>