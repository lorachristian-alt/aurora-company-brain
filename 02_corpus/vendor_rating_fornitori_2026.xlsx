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" sheetId="1" state="visible" r:id="rId1"/>
    <sheet xmlns:r="http://schemas.openxmlformats.org/officeDocument/2006/relationships" name="Valutazione" sheetId="2" state="visible" r:id="rId2"/>
    <sheet xmlns:r="http://schemas.openxmlformats.org/officeDocument/2006/relationships" name="Storico NC" sheetId="3" state="visible" r:id="rId3"/>
    <sheet xmlns:r="http://schemas.openxmlformats.org/officeDocument/2006/relationships" name="Classifica" sheetId="4" state="visible" r:id="rId4"/>
  </sheets>
  <definedNames>
    <definedName name="_xlnm._FilterDatabase" localSheetId="1" hidden="1">'Valutazione'!$A$5:$L$17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i val="1"/>
      <color rgb="009C65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164" fontId="4" fillId="0" borderId="1" pivotButton="0" quotePrefix="0" xfId="0"/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30" customWidth="1" min="4" max="4"/>
    <col width="44" customWidth="1" min="5" max="5"/>
  </cols>
  <sheetData>
    <row r="1">
      <c r="A1" s="1" t="inlineStr">
        <is>
          <t>Vendor rating fornitori - criteri e pesi</t>
        </is>
      </c>
    </row>
    <row r="2">
      <c r="A2" s="2" t="inlineStr">
        <is>
          <t>approvato nel riesame della direzione del 12/03/2026</t>
        </is>
      </c>
    </row>
    <row r="5" ht="28" customHeight="1">
      <c r="A5" s="3" t="inlineStr">
        <is>
          <t>Criterio</t>
        </is>
      </c>
      <c r="B5" s="3" t="inlineStr">
        <is>
          <t>Peso %</t>
        </is>
      </c>
      <c r="C5" s="3" t="inlineStr">
        <is>
          <t>Scala</t>
        </is>
      </c>
      <c r="D5" s="3" t="inlineStr">
        <is>
          <t>Fonte del dato</t>
        </is>
      </c>
      <c r="E5" s="3" t="inlineStr">
        <is>
          <t>Note</t>
        </is>
      </c>
    </row>
    <row r="6">
      <c r="A6" s="4" t="inlineStr">
        <is>
          <t>Qualità (conformità forniture)</t>
        </is>
      </c>
      <c r="B6" s="4" t="n">
        <v>35</v>
      </c>
      <c r="C6" s="4" t="inlineStr">
        <is>
          <t>0-100</t>
        </is>
      </c>
      <c r="D6" s="4" t="inlineStr">
        <is>
          <t>NC fornitore / n. consegne</t>
        </is>
      </c>
      <c r="E6" s="4" t="inlineStr">
        <is>
          <t>peso alzato dopo l'audit</t>
        </is>
      </c>
    </row>
    <row r="7">
      <c r="A7" s="4" t="inlineStr">
        <is>
          <t>Puntualità consegne</t>
        </is>
      </c>
      <c r="B7" s="4" t="n">
        <v>25</v>
      </c>
      <c r="C7" s="4" t="inlineStr">
        <is>
          <t>0-100</t>
        </is>
      </c>
      <c r="D7" s="4" t="inlineStr">
        <is>
          <t>OTIF da gestionale</t>
        </is>
      </c>
      <c r="E7" s="4" t="inlineStr">
        <is>
          <t>calcolato a mano, il gestionale non lo fa</t>
        </is>
      </c>
    </row>
    <row r="8">
      <c r="A8" s="4" t="inlineStr">
        <is>
          <t>Competitività prezzo</t>
        </is>
      </c>
      <c r="B8" s="4" t="n">
        <v>15</v>
      </c>
      <c r="C8" s="4" t="inlineStr">
        <is>
          <t>0-100</t>
        </is>
      </c>
      <c r="D8" s="4" t="inlineStr">
        <is>
          <t>confronto con 2 offerte</t>
        </is>
      </c>
      <c r="E8" s="4" t="inlineStr">
        <is>
          <t>non sempre disponibile</t>
        </is>
      </c>
    </row>
    <row r="9">
      <c r="A9" s="4" t="inlineStr">
        <is>
          <t>Documentazione (CoA, DoC, certificazioni)</t>
        </is>
      </c>
      <c r="B9" s="4" t="n">
        <v>15</v>
      </c>
      <c r="C9" s="4" t="inlineStr">
        <is>
          <t>0-100</t>
        </is>
      </c>
      <c r="D9" s="4" t="inlineStr">
        <is>
          <t>check QA all'accettazione</t>
        </is>
      </c>
      <c r="E9" s="4" t="inlineStr">
        <is>
          <t>requisito BRCGS cl. 3.5</t>
        </is>
      </c>
    </row>
    <row r="10">
      <c r="A10" s="4" t="inlineStr">
        <is>
          <t>Reattività / assistenza</t>
        </is>
      </c>
      <c r="B10" s="4" t="n">
        <v>10</v>
      </c>
      <c r="C10" s="4" t="inlineStr">
        <is>
          <t>0-100</t>
        </is>
      </c>
      <c r="D10" s="4" t="inlineStr">
        <is>
          <t>valutazione soggettiva acquisti</t>
        </is>
      </c>
      <c r="E10" s="4" t="inlineStr"/>
    </row>
    <row r="11">
      <c r="A11" s="5" t="inlineStr">
        <is>
          <t>TOTALE PESI</t>
        </is>
      </c>
      <c r="B11" s="6">
        <f>SUM(B6:B10)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10" customWidth="1" min="4" max="4"/>
    <col width="11" customWidth="1" min="5" max="5"/>
    <col width="9" customWidth="1" min="6" max="6"/>
    <col width="11" customWidth="1" min="7" max="7"/>
    <col width="12" customWidth="1" min="8" max="8"/>
    <col width="11" customWidth="1" min="9" max="9"/>
    <col width="9" customWidth="1" min="10" max="10"/>
    <col width="34" customWidth="1" min="11" max="11"/>
    <col width="13" customWidth="1" min="12" max="12"/>
  </cols>
  <sheetData>
    <row r="1">
      <c r="A1" s="1" t="inlineStr">
        <is>
          <t>Valutazione fornitori 2026 - punteggio ponderato</t>
        </is>
      </c>
    </row>
    <row r="5" ht="28" customHeight="1">
      <c r="A5" s="3" t="inlineStr">
        <is>
          <t>Cod.</t>
        </is>
      </c>
      <c r="B5" s="3" t="inlineStr">
        <is>
          <t>Fornitore</t>
        </is>
      </c>
      <c r="C5" s="3" t="inlineStr">
        <is>
          <t>Categoria</t>
        </is>
      </c>
      <c r="D5" s="3" t="inlineStr">
        <is>
          <t>Qualità</t>
        </is>
      </c>
      <c r="E5" s="3" t="inlineStr">
        <is>
          <t>Puntualità</t>
        </is>
      </c>
      <c r="F5" s="3" t="inlineStr">
        <is>
          <t>Prezzo</t>
        </is>
      </c>
      <c r="G5" s="3" t="inlineStr">
        <is>
          <t>Documenti</t>
        </is>
      </c>
      <c r="H5" s="3" t="inlineStr">
        <is>
          <t>Reattività</t>
        </is>
      </c>
      <c r="I5" s="3" t="inlineStr">
        <is>
          <t>Punteggio</t>
        </is>
      </c>
      <c r="J5" s="3" t="inlineStr">
        <is>
          <t>Classe</t>
        </is>
      </c>
      <c r="K5" s="3" t="inlineStr">
        <is>
          <t>Azione</t>
        </is>
      </c>
      <c r="L5" s="3" t="inlineStr">
        <is>
          <t>Ultimo audit</t>
        </is>
      </c>
    </row>
    <row r="6">
      <c r="A6" s="4" t="inlineStr">
        <is>
          <t>F0012</t>
        </is>
      </c>
      <c r="B6" s="4" t="inlineStr">
        <is>
          <t>Molino Veneto SpA</t>
        </is>
      </c>
      <c r="C6" s="4" t="inlineStr">
        <is>
          <t>farine</t>
        </is>
      </c>
      <c r="D6" s="4" t="n">
        <v>92</v>
      </c>
      <c r="E6" s="4" t="n">
        <v>88</v>
      </c>
      <c r="F6" s="4" t="n">
        <v>74</v>
      </c>
      <c r="G6" s="4" t="n">
        <v>96</v>
      </c>
      <c r="H6" s="4" t="n">
        <v>85</v>
      </c>
      <c r="I6" s="4">
        <f>ROUND(D6*Criteri!$B$6/100+E6*Criteri!$B$7/100+F6*Criteri!$B$8/100+G6*Criteri!$B$9/100+H6*Criteri!$B$10/100,1)</f>
        <v/>
      </c>
      <c r="J6" s="4">
        <f>IF(I6&gt;=85,"A",IF(I6&gt;=70,"B","C"))</f>
        <v/>
      </c>
      <c r="K6" s="4">
        <f>IF(J6="C","audit straordinario + piano di rientro",IF(J6="B","monitoraggio","nessuna"))</f>
        <v/>
      </c>
      <c r="L6" s="4" t="inlineStr">
        <is>
          <t>20/09/2025</t>
        </is>
      </c>
    </row>
    <row r="7">
      <c r="A7" s="4" t="inlineStr">
        <is>
          <t>F0018</t>
        </is>
      </c>
      <c r="B7" s="4" t="inlineStr">
        <is>
          <t>Oleificio Adriatico SpA</t>
        </is>
      </c>
      <c r="C7" s="4" t="inlineStr">
        <is>
          <t>oli e grassi</t>
        </is>
      </c>
      <c r="D7" s="4" t="n">
        <v>88</v>
      </c>
      <c r="E7" s="4" t="n">
        <v>74</v>
      </c>
      <c r="F7" s="4" t="n">
        <v>52</v>
      </c>
      <c r="G7" s="4" t="n">
        <v>90</v>
      </c>
      <c r="H7" s="4" t="n">
        <v>70</v>
      </c>
      <c r="I7" s="4">
        <f>ROUND(D7*Criteri!$B$6/100+E7*Criteri!$B$7/100+F7*Criteri!$B$8/100+G7*Criteri!$B$9/100+H7*Criteri!$B$10/100,1)</f>
        <v/>
      </c>
      <c r="J7" s="4">
        <f>IF(I7&gt;=85,"A",IF(I7&gt;=70,"B","C"))</f>
        <v/>
      </c>
      <c r="K7" s="4">
        <f>IF(J7="C","audit straordinario + piano di rientro",IF(J7="B","monitoraggio","nessuna"))</f>
        <v/>
      </c>
      <c r="L7" s="4" t="inlineStr">
        <is>
          <t>14/11/2025</t>
        </is>
      </c>
    </row>
    <row r="8">
      <c r="A8" s="4" t="inlineStr">
        <is>
          <t>F0021</t>
        </is>
      </c>
      <c r="B8" s="4" t="inlineStr">
        <is>
          <t>Latteria Bassanese Soc. Coop.</t>
        </is>
      </c>
      <c r="C8" s="4" t="inlineStr">
        <is>
          <t>burro e panna</t>
        </is>
      </c>
      <c r="D8" s="4" t="n">
        <v>95</v>
      </c>
      <c r="E8" s="4" t="n">
        <v>91</v>
      </c>
      <c r="F8" s="4" t="n">
        <v>80</v>
      </c>
      <c r="G8" s="4" t="n">
        <v>94</v>
      </c>
      <c r="H8" s="4" t="n">
        <v>88</v>
      </c>
      <c r="I8" s="4">
        <f>ROUND(D8*Criteri!$B$6/100+E8*Criteri!$B$7/100+F8*Criteri!$B$8/100+G8*Criteri!$B$9/100+H8*Criteri!$B$10/100,1)</f>
        <v/>
      </c>
      <c r="J8" s="4">
        <f>IF(I8&gt;=85,"A",IF(I8&gt;=70,"B","C"))</f>
        <v/>
      </c>
      <c r="K8" s="4">
        <f>IF(J8="C","audit straordinario + piano di rientro",IF(J8="B","monitoraggio","nessuna"))</f>
        <v/>
      </c>
      <c r="L8" s="4" t="inlineStr">
        <is>
          <t>03/10/2025</t>
        </is>
      </c>
    </row>
    <row r="9">
      <c r="A9" s="4" t="inlineStr">
        <is>
          <t>F0025</t>
        </is>
      </c>
      <c r="B9" s="4" t="inlineStr">
        <is>
          <t>Zuccherificio Padano Srl</t>
        </is>
      </c>
      <c r="C9" s="4" t="inlineStr">
        <is>
          <t>zuccheri</t>
        </is>
      </c>
      <c r="D9" s="4" t="n">
        <v>90</v>
      </c>
      <c r="E9" s="4" t="n">
        <v>86</v>
      </c>
      <c r="F9" s="4" t="n">
        <v>78</v>
      </c>
      <c r="G9" s="4" t="n">
        <v>88</v>
      </c>
      <c r="H9" s="4" t="n">
        <v>75</v>
      </c>
      <c r="I9" s="4">
        <f>ROUND(D9*Criteri!$B$6/100+E9*Criteri!$B$7/100+F9*Criteri!$B$8/100+G9*Criteri!$B$9/100+H9*Criteri!$B$10/100,1)</f>
        <v/>
      </c>
      <c r="J9" s="4">
        <f>IF(I9&gt;=85,"A",IF(I9&gt;=70,"B","C"))</f>
        <v/>
      </c>
      <c r="K9" s="4">
        <f>IF(J9="C","audit straordinario + piano di rientro",IF(J9="B","monitoraggio","nessuna"))</f>
        <v/>
      </c>
      <c r="L9" s="4" t="inlineStr"/>
    </row>
    <row r="10">
      <c r="A10" s="4" t="inlineStr">
        <is>
          <t>F0029</t>
        </is>
      </c>
      <c r="B10" s="4" t="inlineStr">
        <is>
          <t>Lievital Srl</t>
        </is>
      </c>
      <c r="C10" s="4" t="inlineStr">
        <is>
          <t>lieviti</t>
        </is>
      </c>
      <c r="D10" s="4" t="n">
        <v>64</v>
      </c>
      <c r="E10" s="4" t="n">
        <v>72</v>
      </c>
      <c r="F10" s="4" t="n">
        <v>84</v>
      </c>
      <c r="G10" s="4" t="n">
        <v>58</v>
      </c>
      <c r="H10" s="4" t="n">
        <v>66</v>
      </c>
      <c r="I10" s="4">
        <f>ROUND(D10*Criteri!$B$6/100+E10*Criteri!$B$7/100+F10*Criteri!$B$8/100+G10*Criteri!$B$9/100+H10*Criteri!$B$10/100,1)</f>
        <v/>
      </c>
      <c r="J10" s="4">
        <f>IF(I10&gt;=85,"A",IF(I10&gt;=70,"B","C"))</f>
        <v/>
      </c>
      <c r="K10" s="4">
        <f>IF(J10="C","audit straordinario + piano di rientro",IF(J10="B","monitoraggio","nessuna"))</f>
        <v/>
      </c>
      <c r="L10" s="4" t="inlineStr">
        <is>
          <t>22/01/2026</t>
        </is>
      </c>
    </row>
    <row r="11">
      <c r="A11" s="4" t="inlineStr">
        <is>
          <t>F0031</t>
        </is>
      </c>
      <c r="B11" s="4" t="inlineStr">
        <is>
          <t>Euroglass Boccacci Srl</t>
        </is>
      </c>
      <c r="C11" s="4" t="inlineStr">
        <is>
          <t>imballi vetro</t>
        </is>
      </c>
      <c r="D11" s="4" t="n">
        <v>86</v>
      </c>
      <c r="E11" s="4" t="n">
        <v>68</v>
      </c>
      <c r="F11" s="4" t="n">
        <v>72</v>
      </c>
      <c r="G11" s="4" t="n">
        <v>82</v>
      </c>
      <c r="H11" s="4" t="n">
        <v>74</v>
      </c>
      <c r="I11" s="4">
        <f>ROUND(D11*Criteri!$B$6/100+E11*Criteri!$B$7/100+F11*Criteri!$B$8/100+G11*Criteri!$B$9/100+H11*Criteri!$B$10/100,1)</f>
        <v/>
      </c>
      <c r="J11" s="4">
        <f>IF(I11&gt;=85,"A",IF(I11&gt;=70,"B","C"))</f>
        <v/>
      </c>
      <c r="K11" s="4">
        <f>IF(J11="C","audit straordinario + piano di rientro",IF(J11="B","monitoraggio","nessuna"))</f>
        <v/>
      </c>
      <c r="L11" s="4" t="inlineStr"/>
    </row>
    <row r="12">
      <c r="A12" s="4" t="inlineStr">
        <is>
          <t>F0044</t>
        </is>
      </c>
      <c r="B12" s="4" t="inlineStr">
        <is>
          <t>Flexipack Nordest Srl</t>
        </is>
      </c>
      <c r="C12" s="4" t="inlineStr">
        <is>
          <t>imballi flessibili MOCA</t>
        </is>
      </c>
      <c r="D12" s="4" t="n">
        <v>91</v>
      </c>
      <c r="E12" s="4" t="n">
        <v>84</v>
      </c>
      <c r="F12" s="4" t="n">
        <v>70</v>
      </c>
      <c r="G12" s="4" t="n">
        <v>97</v>
      </c>
      <c r="H12" s="4" t="n">
        <v>90</v>
      </c>
      <c r="I12" s="4">
        <f>ROUND(D12*Criteri!$B$6/100+E12*Criteri!$B$7/100+F12*Criteri!$B$8/100+G12*Criteri!$B$9/100+H12*Criteri!$B$10/100,1)</f>
        <v/>
      </c>
      <c r="J12" s="4">
        <f>IF(I12&gt;=85,"A",IF(I12&gt;=70,"B","C"))</f>
        <v/>
      </c>
      <c r="K12" s="4">
        <f>IF(J12="C","audit straordinario + piano di rientro",IF(J12="B","monitoraggio","nessuna"))</f>
        <v/>
      </c>
      <c r="L12" s="4" t="inlineStr">
        <is>
          <t>05/02/2026</t>
        </is>
      </c>
    </row>
    <row r="13">
      <c r="A13" s="4" t="inlineStr">
        <is>
          <t>F0052</t>
        </is>
      </c>
      <c r="B13" s="4" t="inlineStr">
        <is>
          <t>Chemifood Italia Srl</t>
        </is>
      </c>
      <c r="C13" s="4" t="inlineStr">
        <is>
          <t>detergenti CIP</t>
        </is>
      </c>
      <c r="D13" s="4" t="n">
        <v>88</v>
      </c>
      <c r="E13" s="4" t="n">
        <v>92</v>
      </c>
      <c r="F13" s="4" t="n">
        <v>66</v>
      </c>
      <c r="G13" s="4" t="n">
        <v>95</v>
      </c>
      <c r="H13" s="4" t="n">
        <v>86</v>
      </c>
      <c r="I13" s="4">
        <f>ROUND(D13*Criteri!$B$6/100+E13*Criteri!$B$7/100+F13*Criteri!$B$8/100+G13*Criteri!$B$9/100+H13*Criteri!$B$10/100,1)</f>
        <v/>
      </c>
      <c r="J13" s="4">
        <f>IF(I13&gt;=85,"A",IF(I13&gt;=70,"B","C"))</f>
        <v/>
      </c>
      <c r="K13" s="4">
        <f>IF(J13="C","audit straordinario + piano di rientro",IF(J13="B","monitoraggio","nessuna"))</f>
        <v/>
      </c>
      <c r="L13" s="4" t="inlineStr"/>
    </row>
    <row r="14">
      <c r="A14" s="4" t="inlineStr">
        <is>
          <t>F0061</t>
        </is>
      </c>
      <c r="B14" s="4" t="inlineStr">
        <is>
          <t>Nordgas SpA</t>
        </is>
      </c>
      <c r="C14" s="4" t="inlineStr">
        <is>
          <t>gas alimentari</t>
        </is>
      </c>
      <c r="D14" s="4" t="n">
        <v>94</v>
      </c>
      <c r="E14" s="4" t="n">
        <v>90</v>
      </c>
      <c r="F14" s="4" t="n">
        <v>74</v>
      </c>
      <c r="G14" s="4" t="n">
        <v>92</v>
      </c>
      <c r="H14" s="4" t="n">
        <v>80</v>
      </c>
      <c r="I14" s="4">
        <f>ROUND(D14*Criteri!$B$6/100+E14*Criteri!$B$7/100+F14*Criteri!$B$8/100+G14*Criteri!$B$9/100+H14*Criteri!$B$10/100,1)</f>
        <v/>
      </c>
      <c r="J14" s="4">
        <f>IF(I14&gt;=85,"A",IF(I14&gt;=70,"B","C"))</f>
        <v/>
      </c>
      <c r="K14" s="4">
        <f>IF(J14="C","audit straordinario + piano di rientro",IF(J14="B","monitoraggio","nessuna"))</f>
        <v/>
      </c>
      <c r="L14" s="4" t="inlineStr"/>
    </row>
    <row r="15">
      <c r="A15" s="4" t="inlineStr">
        <is>
          <t>F0077</t>
        </is>
      </c>
      <c r="B15" s="4" t="inlineStr">
        <is>
          <t>Pakmatic Italia Srl</t>
        </is>
      </c>
      <c r="C15" s="4" t="inlineStr">
        <is>
          <t>ricambi confezionatrici</t>
        </is>
      </c>
      <c r="D15" s="4" t="n">
        <v>82</v>
      </c>
      <c r="E15" s="4" t="n">
        <v>48</v>
      </c>
      <c r="F15" s="4" t="n">
        <v>60</v>
      </c>
      <c r="G15" s="4" t="n">
        <v>78</v>
      </c>
      <c r="H15" s="4" t="n">
        <v>54</v>
      </c>
      <c r="I15" s="4">
        <f>ROUND(D15*Criteri!$B$6/100+E15*Criteri!$B$7/100+F15*Criteri!$B$8/100+G15*Criteri!$B$9/100+H15*Criteri!$B$10/100,1)</f>
        <v/>
      </c>
      <c r="J15" s="4">
        <f>IF(I15&gt;=85,"A",IF(I15&gt;=70,"B","C"))</f>
        <v/>
      </c>
      <c r="K15" s="4">
        <f>IF(J15="C","audit straordinario + piano di rientro",IF(J15="B","monitoraggio","nessuna"))</f>
        <v/>
      </c>
      <c r="L15" s="4" t="inlineStr"/>
    </row>
    <row r="16">
      <c r="A16" s="4" t="inlineStr">
        <is>
          <t>F0090</t>
        </is>
      </c>
      <c r="B16" s="4" t="inlineStr">
        <is>
          <t>Analytica Veneta Srl</t>
        </is>
      </c>
      <c r="C16" s="4" t="inlineStr">
        <is>
          <t>laboratorio esterno</t>
        </is>
      </c>
      <c r="D16" s="4" t="n">
        <v>96</v>
      </c>
      <c r="E16" s="4" t="n">
        <v>88</v>
      </c>
      <c r="F16" s="4" t="n">
        <v>58</v>
      </c>
      <c r="G16" s="4" t="n">
        <v>98</v>
      </c>
      <c r="H16" s="4" t="n">
        <v>92</v>
      </c>
      <c r="I16" s="4">
        <f>ROUND(D16*Criteri!$B$6/100+E16*Criteri!$B$7/100+F16*Criteri!$B$8/100+G16*Criteri!$B$9/100+H16*Criteri!$B$10/100,1)</f>
        <v/>
      </c>
      <c r="J16" s="4">
        <f>IF(I16&gt;=85,"A",IF(I16&gt;=70,"B","C"))</f>
        <v/>
      </c>
      <c r="K16" s="4">
        <f>IF(J16="C","audit straordinario + piano di rientro",IF(J16="B","monitoraggio","nessuna"))</f>
        <v/>
      </c>
      <c r="L16" s="4" t="inlineStr">
        <is>
          <t>18/12/2025</t>
        </is>
      </c>
    </row>
    <row r="17">
      <c r="A17" s="4" t="inlineStr">
        <is>
          <t>F0095</t>
        </is>
      </c>
      <c r="B17" s="4" t="inlineStr">
        <is>
          <t>Rational Pack Srl</t>
        </is>
      </c>
      <c r="C17" s="4" t="inlineStr">
        <is>
          <t>cartone</t>
        </is>
      </c>
      <c r="D17" s="4" t="n">
        <v>84</v>
      </c>
      <c r="E17" s="4" t="n">
        <v>80</v>
      </c>
      <c r="F17" s="4" t="n">
        <v>86</v>
      </c>
      <c r="G17" s="4" t="n">
        <v>76</v>
      </c>
      <c r="H17" s="4" t="n">
        <v>78</v>
      </c>
      <c r="I17" s="4">
        <f>ROUND(D17*Criteri!$B$6/100+E17*Criteri!$B$7/100+F17*Criteri!$B$8/100+G17*Criteri!$B$9/100+H17*Criteri!$B$10/100,1)</f>
        <v/>
      </c>
      <c r="J17" s="4">
        <f>IF(I17&gt;=85,"A",IF(I17&gt;=70,"B","C"))</f>
        <v/>
      </c>
      <c r="K17" s="4">
        <f>IF(J17="C","audit straordinario + piano di rientro",IF(J17="B","monitoraggio","nessuna"))</f>
        <v/>
      </c>
      <c r="L17" s="4" t="inlineStr"/>
    </row>
    <row r="19">
      <c r="B19" s="7" t="inlineStr">
        <is>
          <t>(E.M.) Pakmatic è in classe C sulla puntualità e ci è costato un fermo di 3h40. Va aperta la NC fornitore.</t>
        </is>
      </c>
    </row>
    <row r="20">
      <c r="B20" s="7" t="inlineStr">
        <is>
          <t>(E.M.) Lievital: 2 lotti fuori specifica in 4 mesi + documentazione incompleta. Audit da fare entro giugno.</t>
        </is>
      </c>
    </row>
  </sheetData>
  <autoFilter ref="A5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16" customWidth="1" min="4" max="4"/>
    <col width="46" customWidth="1" min="5" max="5"/>
    <col width="9" customWidth="1" min="6" max="6"/>
    <col width="26" customWidth="1" min="7" max="7"/>
    <col width="11" customWidth="1" min="8" max="8"/>
    <col width="12" customWidth="1" min="9" max="9"/>
  </cols>
  <sheetData>
    <row r="1">
      <c r="A1" s="1" t="inlineStr">
        <is>
          <t>Non conformità fornitore 2025-2026</t>
        </is>
      </c>
    </row>
    <row r="5" ht="28" customHeight="1">
      <c r="A5" s="3" t="inlineStr">
        <is>
          <t>N.</t>
        </is>
      </c>
      <c r="B5" s="3" t="inlineStr">
        <is>
          <t>Data</t>
        </is>
      </c>
      <c r="C5" s="3" t="inlineStr">
        <is>
          <t>Fornitore</t>
        </is>
      </c>
      <c r="D5" s="3" t="inlineStr">
        <is>
          <t>Lotto</t>
        </is>
      </c>
      <c r="E5" s="3" t="inlineStr">
        <is>
          <t>Descrizione</t>
        </is>
      </c>
      <c r="F5" s="3" t="inlineStr">
        <is>
          <t>Qtà</t>
        </is>
      </c>
      <c r="G5" s="3" t="inlineStr">
        <is>
          <t>Azione</t>
        </is>
      </c>
      <c r="H5" s="3" t="inlineStr">
        <is>
          <t>Costo €</t>
        </is>
      </c>
      <c r="I5" s="3" t="inlineStr">
        <is>
          <t>Stato</t>
        </is>
      </c>
    </row>
    <row r="6">
      <c r="A6" s="4" t="n">
        <v>1</v>
      </c>
      <c r="B6" s="4" t="inlineStr">
        <is>
          <t>08/09/2025</t>
        </is>
      </c>
      <c r="C6" s="4" t="inlineStr">
        <is>
          <t>Lievital Srl</t>
        </is>
      </c>
      <c r="D6" s="4" t="inlineStr">
        <is>
          <t>LV25-2210</t>
        </is>
      </c>
      <c r="E6" s="4" t="inlineStr">
        <is>
          <t>attività fermentativa sotto specifica</t>
        </is>
      </c>
      <c r="F6" s="4" t="inlineStr">
        <is>
          <t>40 kg</t>
        </is>
      </c>
      <c r="G6" s="4" t="inlineStr">
        <is>
          <t>reso e sostituzione</t>
        </is>
      </c>
      <c r="H6" s="8" t="n">
        <v>620</v>
      </c>
      <c r="I6" s="4" t="inlineStr">
        <is>
          <t>chiusa</t>
        </is>
      </c>
    </row>
    <row r="7">
      <c r="A7" s="4" t="n">
        <v>2</v>
      </c>
      <c r="B7" s="4" t="inlineStr">
        <is>
          <t>14/11/2025</t>
        </is>
      </c>
      <c r="C7" s="4" t="inlineStr">
        <is>
          <t>Oleificio Adriatico SpA</t>
        </is>
      </c>
      <c r="D7" s="4" t="inlineStr">
        <is>
          <t>OA-2511-042</t>
        </is>
      </c>
      <c r="E7" s="4" t="inlineStr">
        <is>
          <t>consegna con 6 gg di ritardo</t>
        </is>
      </c>
      <c r="F7" s="4" t="inlineStr">
        <is>
          <t>-</t>
        </is>
      </c>
      <c r="G7" s="4" t="inlineStr">
        <is>
          <t>richiamo scritto</t>
        </is>
      </c>
      <c r="H7" s="8" t="n">
        <v>0</v>
      </c>
      <c r="I7" s="4" t="inlineStr">
        <is>
          <t>chiusa</t>
        </is>
      </c>
    </row>
    <row r="8">
      <c r="A8" s="4" t="n">
        <v>3</v>
      </c>
      <c r="B8" s="4" t="inlineStr">
        <is>
          <t>22/01/2026</t>
        </is>
      </c>
      <c r="C8" s="4" t="inlineStr">
        <is>
          <t>Lievital Srl</t>
        </is>
      </c>
      <c r="D8" s="4" t="inlineStr">
        <is>
          <t>LV26-0104</t>
        </is>
      </c>
      <c r="E8" s="4" t="inlineStr">
        <is>
          <t>CoA mancante alla consegna</t>
        </is>
      </c>
      <c r="F8" s="4" t="inlineStr">
        <is>
          <t>180 kg</t>
        </is>
      </c>
      <c r="G8" s="4" t="inlineStr">
        <is>
          <t>accettato con riserva</t>
        </is>
      </c>
      <c r="H8" s="8" t="n">
        <v>0</v>
      </c>
      <c r="I8" s="4" t="inlineStr">
        <is>
          <t>chiusa</t>
        </is>
      </c>
    </row>
    <row r="9">
      <c r="A9" s="4" t="n">
        <v>4</v>
      </c>
      <c r="B9" s="4" t="inlineStr">
        <is>
          <t>11/02/2026</t>
        </is>
      </c>
      <c r="C9" s="4" t="inlineStr">
        <is>
          <t>Euroglass Boccacci Srl</t>
        </is>
      </c>
      <c r="D9" s="4" t="inlineStr">
        <is>
          <t>EG26-0088</t>
        </is>
      </c>
      <c r="E9" s="4" t="inlineStr">
        <is>
          <t>2 pedane con film protettivo lacerato</t>
        </is>
      </c>
      <c r="F9" s="4" t="inlineStr">
        <is>
          <t>-</t>
        </is>
      </c>
      <c r="G9" s="4" t="inlineStr">
        <is>
          <t>accettato con riserva</t>
        </is>
      </c>
      <c r="H9" s="8" t="n">
        <v>0</v>
      </c>
      <c r="I9" s="4" t="inlineStr">
        <is>
          <t>chiusa</t>
        </is>
      </c>
    </row>
    <row r="10">
      <c r="A10" s="4" t="n">
        <v>5</v>
      </c>
      <c r="B10" s="4" t="inlineStr">
        <is>
          <t>05/03/2026</t>
        </is>
      </c>
      <c r="C10" s="4" t="inlineStr">
        <is>
          <t>Molino Veneto SpA</t>
        </is>
      </c>
      <c r="D10" s="4" t="inlineStr">
        <is>
          <t>MV26-0211</t>
        </is>
      </c>
      <c r="E10" s="4" t="inlineStr">
        <is>
          <t>W alveografico 278 vs 300±20 richiesto</t>
        </is>
      </c>
      <c r="F10" s="4" t="inlineStr">
        <is>
          <t>4200 kg</t>
        </is>
      </c>
      <c r="G10" s="4" t="inlineStr">
        <is>
          <t>deroga QA + sconto 3%</t>
        </is>
      </c>
      <c r="H10" s="8" t="n">
        <v>1260</v>
      </c>
      <c r="I10" s="4" t="inlineStr">
        <is>
          <t>chiusa</t>
        </is>
      </c>
    </row>
    <row r="11">
      <c r="A11" s="9" t="n">
        <v>6</v>
      </c>
      <c r="B11" s="9" t="inlineStr">
        <is>
          <t>18/04/2026</t>
        </is>
      </c>
      <c r="C11" s="9" t="inlineStr">
        <is>
          <t>Pakmatic Italia Srl</t>
        </is>
      </c>
      <c r="D11" s="9" t="inlineStr">
        <is>
          <t>-</t>
        </is>
      </c>
      <c r="E11" s="9" t="inlineStr">
        <is>
          <t>ricambio valvola N2 non disponibile a magazzino</t>
        </is>
      </c>
      <c r="F11" s="9" t="inlineStr">
        <is>
          <t>-</t>
        </is>
      </c>
      <c r="G11" s="9" t="inlineStr">
        <is>
          <t>sollecito</t>
        </is>
      </c>
      <c r="H11" s="10" t="n">
        <v>0</v>
      </c>
      <c r="I11" s="9" t="inlineStr">
        <is>
          <t>aperta</t>
        </is>
      </c>
    </row>
    <row r="12">
      <c r="A12" s="9" t="n">
        <v>7</v>
      </c>
      <c r="B12" s="9" t="inlineStr">
        <is>
          <t>08/05/2026</t>
        </is>
      </c>
      <c r="C12" s="9" t="inlineStr">
        <is>
          <t>Pakmatic Italia Srl</t>
        </is>
      </c>
      <c r="D12" s="9" t="inlineStr">
        <is>
          <t>-</t>
        </is>
      </c>
      <c r="E12" s="9" t="inlineStr">
        <is>
          <t>tempo di consegna ricambio 7 gg su 48h contrattuali</t>
        </is>
      </c>
      <c r="F12" s="9" t="inlineStr">
        <is>
          <t>-</t>
        </is>
      </c>
      <c r="G12" s="9" t="inlineStr">
        <is>
          <t>NC formale + richiesta penale</t>
        </is>
      </c>
      <c r="H12" s="10" t="n">
        <v>4800</v>
      </c>
      <c r="I12" s="9" t="inlineStr">
        <is>
          <t>aperta</t>
        </is>
      </c>
    </row>
    <row r="13">
      <c r="A13" s="4" t="n">
        <v>8</v>
      </c>
      <c r="B13" s="4" t="inlineStr">
        <is>
          <t>12/05/2026</t>
        </is>
      </c>
      <c r="C13" s="4" t="inlineStr">
        <is>
          <t>Flexipack Nordest Srl</t>
        </is>
      </c>
      <c r="D13" s="4" t="inlineStr">
        <is>
          <t>FX26-0338</t>
        </is>
      </c>
      <c r="E13" s="4" t="inlineStr">
        <is>
          <t>verifica su richiesta - film conforme, nessuna NC</t>
        </is>
      </c>
      <c r="F13" s="4" t="inlineStr">
        <is>
          <t>-</t>
        </is>
      </c>
      <c r="G13" s="4" t="inlineStr">
        <is>
          <t>chiusa senza rilievi</t>
        </is>
      </c>
      <c r="H13" s="8" t="n">
        <v>0</v>
      </c>
      <c r="I13" s="4" t="inlineStr">
        <is>
          <t>chiusa</t>
        </is>
      </c>
    </row>
    <row r="14">
      <c r="A14" s="9" t="n">
        <v>9</v>
      </c>
      <c r="B14" s="9" t="inlineStr">
        <is>
          <t>20/05/2026</t>
        </is>
      </c>
      <c r="C14" s="9" t="inlineStr">
        <is>
          <t>Lievital Srl</t>
        </is>
      </c>
      <c r="D14" s="9" t="inlineStr">
        <is>
          <t>LV26-1180</t>
        </is>
      </c>
      <c r="E14" s="9" t="inlineStr">
        <is>
          <t>lotto consegnato con TMC residuo 14 gg</t>
        </is>
      </c>
      <c r="F14" s="9" t="inlineStr">
        <is>
          <t>210 kg</t>
        </is>
      </c>
      <c r="G14" s="9" t="inlineStr">
        <is>
          <t>reso parziale</t>
        </is>
      </c>
      <c r="H14" s="10" t="n">
        <v>380</v>
      </c>
      <c r="I14" s="9" t="inlineStr">
        <is>
          <t>aperta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10" customWidth="1" min="4" max="4"/>
  </cols>
  <sheetData>
    <row r="1">
      <c r="A1" s="1" t="inlineStr">
        <is>
          <t>Classifica fornitori - estratto per la direzione</t>
        </is>
      </c>
    </row>
    <row r="5" ht="28" customHeight="1">
      <c r="A5" s="3" t="inlineStr">
        <is>
          <t>Pos.</t>
        </is>
      </c>
      <c r="B5" s="3" t="inlineStr">
        <is>
          <t>Fornitore</t>
        </is>
      </c>
      <c r="C5" s="3" t="inlineStr">
        <is>
          <t>Punteggio</t>
        </is>
      </c>
      <c r="D5" s="3" t="inlineStr">
        <is>
          <t>Classe</t>
        </is>
      </c>
    </row>
    <row r="6">
      <c r="A6" s="4" t="n">
        <v>1</v>
      </c>
      <c r="B6" s="4">
        <f>INDEX(Valutazione!$B$6:$B$17,MATCH(LARGE(Valutazione!$I$6:$I$17,A6),Valutazione!$I$6:$I$17,0))</f>
        <v/>
      </c>
      <c r="C6" s="4">
        <f>LARGE(Valutazione!$I$6:$I$17,A6)</f>
        <v/>
      </c>
      <c r="D6" s="4">
        <f>IF(C6&gt;=85,"A",IF(C6&gt;=70,"B","C"))</f>
        <v/>
      </c>
    </row>
    <row r="7">
      <c r="A7" s="4" t="n">
        <v>2</v>
      </c>
      <c r="B7" s="4">
        <f>INDEX(Valutazione!$B$6:$B$17,MATCH(LARGE(Valutazione!$I$6:$I$17,A7),Valutazione!$I$6:$I$17,0))</f>
        <v/>
      </c>
      <c r="C7" s="4">
        <f>LARGE(Valutazione!$I$6:$I$17,A7)</f>
        <v/>
      </c>
      <c r="D7" s="4">
        <f>IF(C7&gt;=85,"A",IF(C7&gt;=70,"B","C"))</f>
        <v/>
      </c>
    </row>
    <row r="8">
      <c r="A8" s="4" t="n">
        <v>3</v>
      </c>
      <c r="B8" s="4">
        <f>INDEX(Valutazione!$B$6:$B$17,MATCH(LARGE(Valutazione!$I$6:$I$17,A8),Valutazione!$I$6:$I$17,0))</f>
        <v/>
      </c>
      <c r="C8" s="4">
        <f>LARGE(Valutazione!$I$6:$I$17,A8)</f>
        <v/>
      </c>
      <c r="D8" s="4">
        <f>IF(C8&gt;=85,"A",IF(C8&gt;=70,"B","C"))</f>
        <v/>
      </c>
    </row>
    <row r="9">
      <c r="A9" s="4" t="n">
        <v>4</v>
      </c>
      <c r="B9" s="4">
        <f>INDEX(Valutazione!$B$6:$B$17,MATCH(LARGE(Valutazione!$I$6:$I$17,A9),Valutazione!$I$6:$I$17,0))</f>
        <v/>
      </c>
      <c r="C9" s="4">
        <f>LARGE(Valutazione!$I$6:$I$17,A9)</f>
        <v/>
      </c>
      <c r="D9" s="4">
        <f>IF(C9&gt;=85,"A",IF(C9&gt;=70,"B","C"))</f>
        <v/>
      </c>
    </row>
    <row r="10">
      <c r="A10" s="4" t="n">
        <v>5</v>
      </c>
      <c r="B10" s="4">
        <f>INDEX(Valutazione!$B$6:$B$17,MATCH(LARGE(Valutazione!$I$6:$I$17,A10),Valutazione!$I$6:$I$17,0))</f>
        <v/>
      </c>
      <c r="C10" s="4">
        <f>LARGE(Valutazione!$I$6:$I$17,A10)</f>
        <v/>
      </c>
      <c r="D10" s="4">
        <f>IF(C10&gt;=85,"A",IF(C10&gt;=70,"B","C"))</f>
        <v/>
      </c>
    </row>
    <row r="11">
      <c r="A11" s="4" t="n">
        <v>6</v>
      </c>
      <c r="B11" s="4">
        <f>INDEX(Valutazione!$B$6:$B$17,MATCH(LARGE(Valutazione!$I$6:$I$17,A11),Valutazione!$I$6:$I$17,0))</f>
        <v/>
      </c>
      <c r="C11" s="4">
        <f>LARGE(Valutazione!$I$6:$I$17,A11)</f>
        <v/>
      </c>
      <c r="D11" s="4">
        <f>IF(C11&gt;=85,"A",IF(C11&gt;=70,"B","C"))</f>
        <v/>
      </c>
    </row>
    <row r="12">
      <c r="A12" s="4" t="n">
        <v>7</v>
      </c>
      <c r="B12" s="4">
        <f>INDEX(Valutazione!$B$6:$B$17,MATCH(LARGE(Valutazione!$I$6:$I$17,A12),Valutazione!$I$6:$I$17,0))</f>
        <v/>
      </c>
      <c r="C12" s="4">
        <f>LARGE(Valutazione!$I$6:$I$17,A12)</f>
        <v/>
      </c>
      <c r="D12" s="4">
        <f>IF(C12&gt;=85,"A",IF(C12&gt;=70,"B","C"))</f>
        <v/>
      </c>
    </row>
    <row r="13">
      <c r="A13" s="4" t="n">
        <v>8</v>
      </c>
      <c r="B13" s="4">
        <f>INDEX(Valutazione!$B$6:$B$17,MATCH(LARGE(Valutazione!$I$6:$I$17,A13),Valutazione!$I$6:$I$17,0))</f>
        <v/>
      </c>
      <c r="C13" s="4">
        <f>LARGE(Valutazione!$I$6:$I$17,A13)</f>
        <v/>
      </c>
      <c r="D13" s="4">
        <f>IF(C13&gt;=85,"A",IF(C13&gt;=70,"B","C"))</f>
        <v/>
      </c>
    </row>
    <row r="14">
      <c r="A14" s="4" t="n">
        <v>9</v>
      </c>
      <c r="B14" s="4">
        <f>INDEX(Valutazione!$B$6:$B$17,MATCH(LARGE(Valutazione!$I$6:$I$17,A14),Valutazione!$I$6:$I$17,0))</f>
        <v/>
      </c>
      <c r="C14" s="4">
        <f>LARGE(Valutazione!$I$6:$I$17,A14)</f>
        <v/>
      </c>
      <c r="D14" s="4">
        <f>IF(C14&gt;=85,"A",IF(C14&gt;=70,"B","C"))</f>
        <v/>
      </c>
    </row>
    <row r="15">
      <c r="A15" s="4" t="n">
        <v>10</v>
      </c>
      <c r="B15" s="4">
        <f>INDEX(Valutazione!$B$6:$B$17,MATCH(LARGE(Valutazione!$I$6:$I$17,A15),Valutazione!$I$6:$I$17,0))</f>
        <v/>
      </c>
      <c r="C15" s="4">
        <f>LARGE(Valutazione!$I$6:$I$17,A15)</f>
        <v/>
      </c>
      <c r="D15" s="4">
        <f>IF(C15&gt;=85,"A",IF(C15&gt;=70,"B","C"))</f>
        <v/>
      </c>
    </row>
    <row r="16">
      <c r="A16" s="4" t="n">
        <v>11</v>
      </c>
      <c r="B16" s="4">
        <f>INDEX(Valutazione!$B$6:$B$17,MATCH(LARGE(Valutazione!$I$6:$I$17,A16),Valutazione!$I$6:$I$17,0))</f>
        <v/>
      </c>
      <c r="C16" s="4">
        <f>LARGE(Valutazione!$I$6:$I$17,A16)</f>
        <v/>
      </c>
      <c r="D16" s="4">
        <f>IF(C16&gt;=85,"A",IF(C16&gt;=70,"B","C"))</f>
        <v/>
      </c>
    </row>
    <row r="17">
      <c r="A17" s="4" t="n">
        <v>12</v>
      </c>
      <c r="B17" s="4">
        <f>INDEX(Valutazione!$B$6:$B$17,MATCH(LARGE(Valutazione!$I$6:$I$17,A17),Valutazione!$I$6:$I$17,0))</f>
        <v/>
      </c>
      <c r="C17" s="4">
        <f>LARGE(Valutazione!$I$6:$I$17,A17)</f>
        <v/>
      </c>
      <c r="D17" s="4">
        <f>IF(C17&gt;=85,"A",IF(C17&gt;=70,"B","C"))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701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vendor rating fornitori 2026</dc:title>
  <dc:creator>Elena Marchetti</dc:creator>
  <cp:lastModifiedBy>Nicola Faggionato</cp:lastModifiedBy>
  <cp:revision>30</cp:revision>
  <dc:description/>
  <dcterms:created xsi:type="dcterms:W3CDTF">2026-04-11T11:39:00Z</dcterms:created>
  <dcterms:modified xsi:type="dcterms:W3CDTF">2026-05-28T14:39:00Z</dcterms:modified>
  <cp:company>Aurora Food Group S.r.l.</cp:company>
</cp:coreProperties>
</file>